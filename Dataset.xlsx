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987D4F33-133F-42A9-952D-79AEEBFB3E78}" xr6:coauthVersionLast="47" xr6:coauthVersionMax="47" xr10:uidLastSave="{00000000-0000-0000-0000-000000000000}"/>
  <bookViews>
    <workbookView xWindow="-108" yWindow="-108" windowWidth="23256" windowHeight="12456" activeTab="5" xr2:uid="{0F02AA58-194C-4010-9720-C9ABA29EB4F7}"/>
  </bookViews>
  <sheets>
    <sheet name="Sheet1" sheetId="1" r:id="rId1"/>
    <sheet name="Sheet2" sheetId="2" r:id="rId2"/>
    <sheet name="Sheet6" sheetId="6" r:id="rId3"/>
    <sheet name="Sheet5" sheetId="5" r:id="rId4"/>
    <sheet name="Dashboard" sheetId="4" r:id="rId5"/>
    <sheet name="DataSet" sheetId="7" r:id="rId6"/>
    <sheet name="Sheet3" sheetId="3" r:id="rId7"/>
  </sheets>
  <definedNames>
    <definedName name="Slicer_Product">#N/A</definedName>
    <definedName name="Slicer_Reg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4" i="5" l="1"/>
  <c r="G4" i="4"/>
  <c r="F4" i="4"/>
  <c r="D137" i="4"/>
  <c r="E139" i="4"/>
  <c r="E138" i="4"/>
</calcChain>
</file>

<file path=xl/sharedStrings.xml><?xml version="1.0" encoding="utf-8"?>
<sst xmlns="http://schemas.openxmlformats.org/spreadsheetml/2006/main" count="734" uniqueCount="36">
  <si>
    <t>Date</t>
  </si>
  <si>
    <t>Product</t>
  </si>
  <si>
    <t>Region</t>
  </si>
  <si>
    <t>Sales</t>
  </si>
  <si>
    <t>Profit</t>
  </si>
  <si>
    <t>Laptop</t>
  </si>
  <si>
    <t>South</t>
  </si>
  <si>
    <t>Mobile</t>
  </si>
  <si>
    <t>North</t>
  </si>
  <si>
    <t>Tablet</t>
  </si>
  <si>
    <t>East</t>
  </si>
  <si>
    <t>West</t>
  </si>
  <si>
    <t>Row Labels</t>
  </si>
  <si>
    <t>Grand Total</t>
  </si>
  <si>
    <t>Sum of Sales</t>
  </si>
  <si>
    <t>Sum of Profit</t>
  </si>
  <si>
    <t>Phone</t>
  </si>
  <si>
    <t>Monitor</t>
  </si>
  <si>
    <t>Keyboard</t>
  </si>
  <si>
    <t xml:space="preserve">Laptop </t>
  </si>
  <si>
    <t xml:space="preserve">Keyboard </t>
  </si>
  <si>
    <t xml:space="preserve">Monitor </t>
  </si>
  <si>
    <t xml:space="preserve">Phone </t>
  </si>
  <si>
    <t xml:space="preserve">Tablet </t>
  </si>
  <si>
    <t xml:space="preserve">North </t>
  </si>
  <si>
    <t xml:space="preserve"> south</t>
  </si>
  <si>
    <t xml:space="preserve">West </t>
  </si>
  <si>
    <t xml:space="preserve">South </t>
  </si>
  <si>
    <t>Total Sales</t>
  </si>
  <si>
    <t>Total Profit</t>
  </si>
  <si>
    <t>Sales Performance Dashboard</t>
  </si>
  <si>
    <t>TOTAL REVENUE</t>
  </si>
  <si>
    <t>TOTAL PROFIT</t>
  </si>
  <si>
    <t>TOTAL ORDERS</t>
  </si>
  <si>
    <t>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</si>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</sst>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Calibri"/>
      <family val="2"/>
      <scheme val="minor"/>
    </font>
    <font>
      <b/>
      <sz val="14"/>
      <color theme="1"/>
      <name val="Calibri"/>
      <family val="2"/>
      <scheme val="minor"/>
    </font>
    <font>
      <b/>
      <sz val="20"/>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0" borderId="0" xfId="0" applyFont="1"/>
    <xf numFmtId="0" fontId="3" fillId="2" borderId="1" xfId="0" applyFont="1" applyFill="1" applyBorder="1"/>
    <xf numFmtId="164" fontId="3" fillId="2" borderId="1" xfId="0" applyNumberFormat="1" applyFont="1" applyFill="1" applyBorder="1"/>
    <xf numFmtId="0" fontId="3" fillId="3" borderId="0" xfId="0" applyFont="1" applyFill="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kumimoji="0" lang="en-US" sz="1400" b="0" i="0" u="none" strike="noStrike" kern="0" cap="none" spc="0" normalizeH="0" baseline="0" noProof="0">
                <a:ln>
                  <a:noFill/>
                </a:ln>
                <a:solidFill>
                  <a:sysClr val="windowText" lastClr="000000">
                    <a:lumMod val="65000"/>
                    <a:lumOff val="35000"/>
                  </a:sysClr>
                </a:solidFill>
                <a:effectLst/>
                <a:uLnTx/>
                <a:uFillTx/>
                <a:latin typeface="Calibri" panose="020F0502020204030204"/>
              </a:rPr>
              <a:t>Sales</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Sheet5!$K$24</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l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Sheet5!$H$25:$H$124</c:f>
              <c:numCache>
                <c:formatCode>m/d/yyyy</c:formatCode>
                <c:ptCount val="100"/>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pt idx="31">
                  <c:v>45689</c:v>
                </c:pt>
                <c:pt idx="32">
                  <c:v>45690</c:v>
                </c:pt>
                <c:pt idx="33">
                  <c:v>45691</c:v>
                </c:pt>
                <c:pt idx="34">
                  <c:v>45692</c:v>
                </c:pt>
                <c:pt idx="35">
                  <c:v>45693</c:v>
                </c:pt>
                <c:pt idx="36">
                  <c:v>45694</c:v>
                </c:pt>
                <c:pt idx="37">
                  <c:v>45695</c:v>
                </c:pt>
                <c:pt idx="38">
                  <c:v>45696</c:v>
                </c:pt>
                <c:pt idx="39">
                  <c:v>45697</c:v>
                </c:pt>
                <c:pt idx="40">
                  <c:v>45698</c:v>
                </c:pt>
                <c:pt idx="41">
                  <c:v>45699</c:v>
                </c:pt>
                <c:pt idx="42">
                  <c:v>45700</c:v>
                </c:pt>
                <c:pt idx="43">
                  <c:v>45701</c:v>
                </c:pt>
                <c:pt idx="44">
                  <c:v>45702</c:v>
                </c:pt>
                <c:pt idx="45">
                  <c:v>45703</c:v>
                </c:pt>
                <c:pt idx="46">
                  <c:v>45704</c:v>
                </c:pt>
                <c:pt idx="47">
                  <c:v>45705</c:v>
                </c:pt>
                <c:pt idx="48">
                  <c:v>45706</c:v>
                </c:pt>
                <c:pt idx="49">
                  <c:v>45707</c:v>
                </c:pt>
                <c:pt idx="50">
                  <c:v>45708</c:v>
                </c:pt>
                <c:pt idx="51">
                  <c:v>45709</c:v>
                </c:pt>
                <c:pt idx="52">
                  <c:v>45710</c:v>
                </c:pt>
                <c:pt idx="53">
                  <c:v>45711</c:v>
                </c:pt>
                <c:pt idx="54">
                  <c:v>45712</c:v>
                </c:pt>
                <c:pt idx="55">
                  <c:v>45713</c:v>
                </c:pt>
                <c:pt idx="56">
                  <c:v>45714</c:v>
                </c:pt>
                <c:pt idx="57">
                  <c:v>45715</c:v>
                </c:pt>
                <c:pt idx="58">
                  <c:v>45716</c:v>
                </c:pt>
                <c:pt idx="59">
                  <c:v>45717</c:v>
                </c:pt>
                <c:pt idx="60">
                  <c:v>45718</c:v>
                </c:pt>
                <c:pt idx="61">
                  <c:v>45719</c:v>
                </c:pt>
                <c:pt idx="62">
                  <c:v>45720</c:v>
                </c:pt>
                <c:pt idx="63">
                  <c:v>45721</c:v>
                </c:pt>
                <c:pt idx="64">
                  <c:v>45722</c:v>
                </c:pt>
                <c:pt idx="65">
                  <c:v>45723</c:v>
                </c:pt>
                <c:pt idx="66">
                  <c:v>45724</c:v>
                </c:pt>
                <c:pt idx="67">
                  <c:v>45725</c:v>
                </c:pt>
                <c:pt idx="68">
                  <c:v>45726</c:v>
                </c:pt>
                <c:pt idx="69">
                  <c:v>45727</c:v>
                </c:pt>
                <c:pt idx="70">
                  <c:v>45728</c:v>
                </c:pt>
                <c:pt idx="71">
                  <c:v>45729</c:v>
                </c:pt>
                <c:pt idx="72">
                  <c:v>45730</c:v>
                </c:pt>
                <c:pt idx="73">
                  <c:v>45731</c:v>
                </c:pt>
                <c:pt idx="74">
                  <c:v>45732</c:v>
                </c:pt>
                <c:pt idx="75">
                  <c:v>45733</c:v>
                </c:pt>
                <c:pt idx="76">
                  <c:v>45734</c:v>
                </c:pt>
                <c:pt idx="77">
                  <c:v>45735</c:v>
                </c:pt>
                <c:pt idx="78">
                  <c:v>45736</c:v>
                </c:pt>
                <c:pt idx="79">
                  <c:v>45737</c:v>
                </c:pt>
                <c:pt idx="80">
                  <c:v>45738</c:v>
                </c:pt>
                <c:pt idx="81">
                  <c:v>45739</c:v>
                </c:pt>
                <c:pt idx="82">
                  <c:v>45740</c:v>
                </c:pt>
                <c:pt idx="83">
                  <c:v>45741</c:v>
                </c:pt>
                <c:pt idx="84">
                  <c:v>45742</c:v>
                </c:pt>
                <c:pt idx="85">
                  <c:v>45743</c:v>
                </c:pt>
                <c:pt idx="86">
                  <c:v>45744</c:v>
                </c:pt>
                <c:pt idx="87">
                  <c:v>45745</c:v>
                </c:pt>
                <c:pt idx="88">
                  <c:v>45746</c:v>
                </c:pt>
                <c:pt idx="89">
                  <c:v>45747</c:v>
                </c:pt>
                <c:pt idx="90">
                  <c:v>45748</c:v>
                </c:pt>
                <c:pt idx="91">
                  <c:v>45749</c:v>
                </c:pt>
                <c:pt idx="92">
                  <c:v>45750</c:v>
                </c:pt>
                <c:pt idx="93">
                  <c:v>45751</c:v>
                </c:pt>
                <c:pt idx="94">
                  <c:v>45752</c:v>
                </c:pt>
                <c:pt idx="95">
                  <c:v>45753</c:v>
                </c:pt>
                <c:pt idx="96">
                  <c:v>45754</c:v>
                </c:pt>
                <c:pt idx="97">
                  <c:v>45755</c:v>
                </c:pt>
                <c:pt idx="98">
                  <c:v>45756</c:v>
                </c:pt>
                <c:pt idx="99">
                  <c:v>45757</c:v>
                </c:pt>
              </c:numCache>
            </c:numRef>
          </c:cat>
          <c:val>
            <c:numRef>
              <c:f>Sheet5!$K$25:$K$124</c:f>
              <c:numCache>
                <c:formatCode>General</c:formatCode>
                <c:ptCount val="100"/>
                <c:pt idx="0">
                  <c:v>49726</c:v>
                </c:pt>
                <c:pt idx="1">
                  <c:v>28657</c:v>
                </c:pt>
                <c:pt idx="2">
                  <c:v>15118</c:v>
                </c:pt>
                <c:pt idx="3">
                  <c:v>43129</c:v>
                </c:pt>
                <c:pt idx="4">
                  <c:v>40998</c:v>
                </c:pt>
                <c:pt idx="5">
                  <c:v>49554</c:v>
                </c:pt>
                <c:pt idx="6">
                  <c:v>50872</c:v>
                </c:pt>
                <c:pt idx="7">
                  <c:v>53104</c:v>
                </c:pt>
                <c:pt idx="8">
                  <c:v>30978</c:v>
                </c:pt>
                <c:pt idx="9">
                  <c:v>30823</c:v>
                </c:pt>
                <c:pt idx="10">
                  <c:v>10199</c:v>
                </c:pt>
                <c:pt idx="11">
                  <c:v>10444</c:v>
                </c:pt>
                <c:pt idx="12">
                  <c:v>11135</c:v>
                </c:pt>
                <c:pt idx="13">
                  <c:v>30131</c:v>
                </c:pt>
                <c:pt idx="14">
                  <c:v>11878</c:v>
                </c:pt>
                <c:pt idx="15">
                  <c:v>36614</c:v>
                </c:pt>
                <c:pt idx="16">
                  <c:v>59362</c:v>
                </c:pt>
                <c:pt idx="17">
                  <c:v>49046</c:v>
                </c:pt>
                <c:pt idx="18">
                  <c:v>27589</c:v>
                </c:pt>
                <c:pt idx="19">
                  <c:v>13557</c:v>
                </c:pt>
                <c:pt idx="20">
                  <c:v>40196</c:v>
                </c:pt>
                <c:pt idx="21">
                  <c:v>27888</c:v>
                </c:pt>
                <c:pt idx="22">
                  <c:v>57957</c:v>
                </c:pt>
                <c:pt idx="23">
                  <c:v>48548</c:v>
                </c:pt>
                <c:pt idx="24">
                  <c:v>59600</c:v>
                </c:pt>
                <c:pt idx="25">
                  <c:v>37434</c:v>
                </c:pt>
                <c:pt idx="26">
                  <c:v>45668</c:v>
                </c:pt>
                <c:pt idx="27">
                  <c:v>42149</c:v>
                </c:pt>
                <c:pt idx="28">
                  <c:v>55878</c:v>
                </c:pt>
                <c:pt idx="29">
                  <c:v>49574</c:v>
                </c:pt>
                <c:pt idx="30">
                  <c:v>54994</c:v>
                </c:pt>
                <c:pt idx="31">
                  <c:v>28669</c:v>
                </c:pt>
                <c:pt idx="32">
                  <c:v>56985</c:v>
                </c:pt>
                <c:pt idx="33">
                  <c:v>54260</c:v>
                </c:pt>
                <c:pt idx="34">
                  <c:v>58897</c:v>
                </c:pt>
                <c:pt idx="35">
                  <c:v>46514</c:v>
                </c:pt>
                <c:pt idx="36">
                  <c:v>46526</c:v>
                </c:pt>
                <c:pt idx="37">
                  <c:v>17707</c:v>
                </c:pt>
                <c:pt idx="38">
                  <c:v>49709</c:v>
                </c:pt>
                <c:pt idx="39">
                  <c:v>37864</c:v>
                </c:pt>
                <c:pt idx="40">
                  <c:v>18263</c:v>
                </c:pt>
                <c:pt idx="41">
                  <c:v>31781</c:v>
                </c:pt>
                <c:pt idx="42">
                  <c:v>33160</c:v>
                </c:pt>
                <c:pt idx="43">
                  <c:v>48254</c:v>
                </c:pt>
                <c:pt idx="44">
                  <c:v>18059</c:v>
                </c:pt>
                <c:pt idx="45">
                  <c:v>15888</c:v>
                </c:pt>
                <c:pt idx="46">
                  <c:v>16253</c:v>
                </c:pt>
                <c:pt idx="47">
                  <c:v>59707</c:v>
                </c:pt>
                <c:pt idx="48">
                  <c:v>45905</c:v>
                </c:pt>
                <c:pt idx="49">
                  <c:v>31956</c:v>
                </c:pt>
                <c:pt idx="50">
                  <c:v>33240</c:v>
                </c:pt>
                <c:pt idx="51">
                  <c:v>20700</c:v>
                </c:pt>
                <c:pt idx="52">
                  <c:v>38524</c:v>
                </c:pt>
                <c:pt idx="53">
                  <c:v>34245</c:v>
                </c:pt>
                <c:pt idx="54">
                  <c:v>34615</c:v>
                </c:pt>
                <c:pt idx="55">
                  <c:v>48695</c:v>
                </c:pt>
                <c:pt idx="56">
                  <c:v>21837</c:v>
                </c:pt>
                <c:pt idx="57">
                  <c:v>29712</c:v>
                </c:pt>
                <c:pt idx="58">
                  <c:v>53478</c:v>
                </c:pt>
                <c:pt idx="59">
                  <c:v>58760</c:v>
                </c:pt>
                <c:pt idx="60">
                  <c:v>57827</c:v>
                </c:pt>
                <c:pt idx="61">
                  <c:v>40608</c:v>
                </c:pt>
                <c:pt idx="62">
                  <c:v>49014</c:v>
                </c:pt>
                <c:pt idx="63">
                  <c:v>48909</c:v>
                </c:pt>
                <c:pt idx="64">
                  <c:v>29843</c:v>
                </c:pt>
                <c:pt idx="65">
                  <c:v>18488</c:v>
                </c:pt>
                <c:pt idx="66">
                  <c:v>18492</c:v>
                </c:pt>
                <c:pt idx="67">
                  <c:v>49273</c:v>
                </c:pt>
                <c:pt idx="68">
                  <c:v>57803</c:v>
                </c:pt>
                <c:pt idx="69">
                  <c:v>19192</c:v>
                </c:pt>
                <c:pt idx="70">
                  <c:v>10356</c:v>
                </c:pt>
                <c:pt idx="71">
                  <c:v>57562</c:v>
                </c:pt>
                <c:pt idx="72">
                  <c:v>12974</c:v>
                </c:pt>
                <c:pt idx="73">
                  <c:v>25246</c:v>
                </c:pt>
                <c:pt idx="74">
                  <c:v>47558</c:v>
                </c:pt>
                <c:pt idx="75">
                  <c:v>57929</c:v>
                </c:pt>
                <c:pt idx="76">
                  <c:v>56610</c:v>
                </c:pt>
                <c:pt idx="77">
                  <c:v>21848</c:v>
                </c:pt>
                <c:pt idx="78">
                  <c:v>25655</c:v>
                </c:pt>
                <c:pt idx="79">
                  <c:v>20425</c:v>
                </c:pt>
                <c:pt idx="80">
                  <c:v>52429</c:v>
                </c:pt>
                <c:pt idx="81">
                  <c:v>38010</c:v>
                </c:pt>
                <c:pt idx="82">
                  <c:v>13363</c:v>
                </c:pt>
                <c:pt idx="83">
                  <c:v>34733</c:v>
                </c:pt>
                <c:pt idx="84">
                  <c:v>16252</c:v>
                </c:pt>
                <c:pt idx="85">
                  <c:v>31451</c:v>
                </c:pt>
                <c:pt idx="86">
                  <c:v>54404</c:v>
                </c:pt>
                <c:pt idx="87">
                  <c:v>52070</c:v>
                </c:pt>
                <c:pt idx="88">
                  <c:v>11215</c:v>
                </c:pt>
                <c:pt idx="89">
                  <c:v>54875</c:v>
                </c:pt>
                <c:pt idx="90">
                  <c:v>54307</c:v>
                </c:pt>
                <c:pt idx="91">
                  <c:v>58502</c:v>
                </c:pt>
                <c:pt idx="92">
                  <c:v>14033</c:v>
                </c:pt>
                <c:pt idx="93">
                  <c:v>16893</c:v>
                </c:pt>
                <c:pt idx="94">
                  <c:v>26109</c:v>
                </c:pt>
                <c:pt idx="95">
                  <c:v>22588</c:v>
                </c:pt>
                <c:pt idx="96">
                  <c:v>42166</c:v>
                </c:pt>
                <c:pt idx="97">
                  <c:v>34347</c:v>
                </c:pt>
                <c:pt idx="98">
                  <c:v>43411</c:v>
                </c:pt>
                <c:pt idx="99">
                  <c:v>46198</c:v>
                </c:pt>
              </c:numCache>
            </c:numRef>
          </c:val>
          <c:smooth val="0"/>
          <c:extLst>
            <c:ext xmlns:c16="http://schemas.microsoft.com/office/drawing/2014/chart" uri="{C3380CC4-5D6E-409C-BE32-E72D297353CC}">
              <c16:uniqueId val="{00000000-C254-4C68-9EA7-97F0C3A45D34}"/>
            </c:ext>
          </c:extLst>
        </c:ser>
        <c:dLbls>
          <c:showLegendKey val="0"/>
          <c:showVal val="1"/>
          <c:showCatName val="0"/>
          <c:showSerName val="0"/>
          <c:showPercent val="0"/>
          <c:showBubbleSize val="0"/>
        </c:dLbls>
        <c:marker val="1"/>
        <c:smooth val="0"/>
        <c:axId val="953316720"/>
        <c:axId val="953317200"/>
      </c:lineChart>
      <c:dateAx>
        <c:axId val="953316720"/>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953317200"/>
        <c:crosses val="autoZero"/>
        <c:auto val="1"/>
        <c:lblOffset val="100"/>
        <c:baseTimeUnit val="days"/>
      </c:dateAx>
      <c:valAx>
        <c:axId val="95331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953316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Sales</a:t>
            </a:r>
            <a:r>
              <a:rPr lang="en-IN" sz="1100" b="1" baseline="0"/>
              <a:t> Distribution By Date</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6398106748637695"/>
          <c:y val="0.18038381095659192"/>
          <c:w val="0.81295541940480387"/>
          <c:h val="0.57483813822828533"/>
        </c:manualLayout>
      </c:layout>
      <c:lineChart>
        <c:grouping val="percentStacked"/>
        <c:varyColors val="0"/>
        <c:ser>
          <c:idx val="0"/>
          <c:order val="0"/>
          <c:tx>
            <c:strRef>
              <c:f>Sheet5!$K$24</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Dashboard!$D$137:$D$137</c:f>
              <c:numCache>
                <c:formatCode>General</c:formatCode>
                <c:ptCount val="1"/>
                <c:pt idx="0">
                  <c:v>3705931</c:v>
                </c:pt>
              </c:numCache>
            </c:numRef>
          </c:val>
          <c:smooth val="0"/>
          <c:extLst>
            <c:ext xmlns:c16="http://schemas.microsoft.com/office/drawing/2014/chart" uri="{C3380CC4-5D6E-409C-BE32-E72D297353CC}">
              <c16:uniqueId val="{00000000-AA92-4140-B4C8-95C19A6FF0B6}"/>
            </c:ext>
          </c:extLst>
        </c:ser>
        <c:ser>
          <c:idx val="1"/>
          <c:order val="1"/>
          <c:tx>
            <c:strRef>
              <c:f>Sheet5!$H$24</c:f>
              <c:strCache>
                <c:ptCount val="1"/>
                <c:pt idx="0">
                  <c:v>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Sheet5!$H$25:$H$124</c:f>
              <c:numCache>
                <c:formatCode>m/d/yyyy</c:formatCode>
                <c:ptCount val="100"/>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pt idx="31">
                  <c:v>45689</c:v>
                </c:pt>
                <c:pt idx="32">
                  <c:v>45690</c:v>
                </c:pt>
                <c:pt idx="33">
                  <c:v>45691</c:v>
                </c:pt>
                <c:pt idx="34">
                  <c:v>45692</c:v>
                </c:pt>
                <c:pt idx="35">
                  <c:v>45693</c:v>
                </c:pt>
                <c:pt idx="36">
                  <c:v>45694</c:v>
                </c:pt>
                <c:pt idx="37">
                  <c:v>45695</c:v>
                </c:pt>
                <c:pt idx="38">
                  <c:v>45696</c:v>
                </c:pt>
                <c:pt idx="39">
                  <c:v>45697</c:v>
                </c:pt>
                <c:pt idx="40">
                  <c:v>45698</c:v>
                </c:pt>
                <c:pt idx="41">
                  <c:v>45699</c:v>
                </c:pt>
                <c:pt idx="42">
                  <c:v>45700</c:v>
                </c:pt>
                <c:pt idx="43">
                  <c:v>45701</c:v>
                </c:pt>
                <c:pt idx="44">
                  <c:v>45702</c:v>
                </c:pt>
                <c:pt idx="45">
                  <c:v>45703</c:v>
                </c:pt>
                <c:pt idx="46">
                  <c:v>45704</c:v>
                </c:pt>
                <c:pt idx="47">
                  <c:v>45705</c:v>
                </c:pt>
                <c:pt idx="48">
                  <c:v>45706</c:v>
                </c:pt>
                <c:pt idx="49">
                  <c:v>45707</c:v>
                </c:pt>
                <c:pt idx="50">
                  <c:v>45708</c:v>
                </c:pt>
                <c:pt idx="51">
                  <c:v>45709</c:v>
                </c:pt>
                <c:pt idx="52">
                  <c:v>45710</c:v>
                </c:pt>
                <c:pt idx="53">
                  <c:v>45711</c:v>
                </c:pt>
                <c:pt idx="54">
                  <c:v>45712</c:v>
                </c:pt>
                <c:pt idx="55">
                  <c:v>45713</c:v>
                </c:pt>
                <c:pt idx="56">
                  <c:v>45714</c:v>
                </c:pt>
                <c:pt idx="57">
                  <c:v>45715</c:v>
                </c:pt>
                <c:pt idx="58">
                  <c:v>45716</c:v>
                </c:pt>
                <c:pt idx="59">
                  <c:v>45717</c:v>
                </c:pt>
                <c:pt idx="60">
                  <c:v>45718</c:v>
                </c:pt>
                <c:pt idx="61">
                  <c:v>45719</c:v>
                </c:pt>
                <c:pt idx="62">
                  <c:v>45720</c:v>
                </c:pt>
                <c:pt idx="63">
                  <c:v>45721</c:v>
                </c:pt>
                <c:pt idx="64">
                  <c:v>45722</c:v>
                </c:pt>
                <c:pt idx="65">
                  <c:v>45723</c:v>
                </c:pt>
                <c:pt idx="66">
                  <c:v>45724</c:v>
                </c:pt>
                <c:pt idx="67">
                  <c:v>45725</c:v>
                </c:pt>
                <c:pt idx="68">
                  <c:v>45726</c:v>
                </c:pt>
                <c:pt idx="69">
                  <c:v>45727</c:v>
                </c:pt>
                <c:pt idx="70">
                  <c:v>45728</c:v>
                </c:pt>
                <c:pt idx="71">
                  <c:v>45729</c:v>
                </c:pt>
                <c:pt idx="72">
                  <c:v>45730</c:v>
                </c:pt>
                <c:pt idx="73">
                  <c:v>45731</c:v>
                </c:pt>
                <c:pt idx="74">
                  <c:v>45732</c:v>
                </c:pt>
                <c:pt idx="75">
                  <c:v>45733</c:v>
                </c:pt>
                <c:pt idx="76">
                  <c:v>45734</c:v>
                </c:pt>
                <c:pt idx="77">
                  <c:v>45735</c:v>
                </c:pt>
                <c:pt idx="78">
                  <c:v>45736</c:v>
                </c:pt>
                <c:pt idx="79">
                  <c:v>45737</c:v>
                </c:pt>
                <c:pt idx="80">
                  <c:v>45738</c:v>
                </c:pt>
                <c:pt idx="81">
                  <c:v>45739</c:v>
                </c:pt>
                <c:pt idx="82">
                  <c:v>45740</c:v>
                </c:pt>
                <c:pt idx="83">
                  <c:v>45741</c:v>
                </c:pt>
                <c:pt idx="84">
                  <c:v>45742</c:v>
                </c:pt>
                <c:pt idx="85">
                  <c:v>45743</c:v>
                </c:pt>
                <c:pt idx="86">
                  <c:v>45744</c:v>
                </c:pt>
                <c:pt idx="87">
                  <c:v>45745</c:v>
                </c:pt>
                <c:pt idx="88">
                  <c:v>45746</c:v>
                </c:pt>
                <c:pt idx="89">
                  <c:v>45747</c:v>
                </c:pt>
                <c:pt idx="90">
                  <c:v>45748</c:v>
                </c:pt>
                <c:pt idx="91">
                  <c:v>45749</c:v>
                </c:pt>
                <c:pt idx="92">
                  <c:v>45750</c:v>
                </c:pt>
                <c:pt idx="93">
                  <c:v>45751</c:v>
                </c:pt>
                <c:pt idx="94">
                  <c:v>45752</c:v>
                </c:pt>
                <c:pt idx="95">
                  <c:v>45753</c:v>
                </c:pt>
                <c:pt idx="96">
                  <c:v>45754</c:v>
                </c:pt>
                <c:pt idx="97">
                  <c:v>45755</c:v>
                </c:pt>
                <c:pt idx="98">
                  <c:v>45756</c:v>
                </c:pt>
                <c:pt idx="99">
                  <c:v>45757</c:v>
                </c:pt>
              </c:numCache>
            </c:numRef>
          </c:val>
          <c:smooth val="0"/>
          <c:extLst>
            <c:ext xmlns:c16="http://schemas.microsoft.com/office/drawing/2014/chart" uri="{C3380CC4-5D6E-409C-BE32-E72D297353CC}">
              <c16:uniqueId val="{00000001-AA92-4140-B4C8-95C19A6FF0B6}"/>
            </c:ext>
          </c:extLst>
        </c:ser>
        <c:dLbls>
          <c:showLegendKey val="0"/>
          <c:showVal val="0"/>
          <c:showCatName val="0"/>
          <c:showSerName val="0"/>
          <c:showPercent val="0"/>
          <c:showBubbleSize val="0"/>
        </c:dLbls>
        <c:marker val="1"/>
        <c:smooth val="0"/>
        <c:axId val="886939328"/>
        <c:axId val="886940288"/>
      </c:lineChart>
      <c:catAx>
        <c:axId val="8869393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40288"/>
        <c:crosses val="autoZero"/>
        <c:auto val="1"/>
        <c:lblAlgn val="ctr"/>
        <c:lblOffset val="100"/>
        <c:noMultiLvlLbl val="0"/>
      </c:catAx>
      <c:valAx>
        <c:axId val="886940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939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Sheet5!$K$24</c:f>
              <c:strCache>
                <c:ptCount val="1"/>
                <c:pt idx="0">
                  <c:v>Sales</c:v>
                </c:pt>
              </c:strCache>
            </c:strRef>
          </c:tx>
          <c:spPr>
            <a:solidFill>
              <a:schemeClr val="accent1"/>
            </a:solidFill>
            <a:ln>
              <a:noFill/>
            </a:ln>
            <a:effectLst/>
          </c:spPr>
          <c:invertIfNegative val="0"/>
          <c:cat>
            <c:strRef>
              <c:f>Sheet5!$I$25:$I$124</c:f>
              <c:strCache>
                <c:ptCount val="100"/>
                <c:pt idx="0">
                  <c:v>Laptop</c:v>
                </c:pt>
                <c:pt idx="1">
                  <c:v>Phone</c:v>
                </c:pt>
                <c:pt idx="2">
                  <c:v>Tablet</c:v>
                </c:pt>
                <c:pt idx="3">
                  <c:v>Monitor</c:v>
                </c:pt>
                <c:pt idx="4">
                  <c:v>Keyboard</c:v>
                </c:pt>
                <c:pt idx="5">
                  <c:v>Laptop</c:v>
                </c:pt>
                <c:pt idx="6">
                  <c:v>Phone</c:v>
                </c:pt>
                <c:pt idx="7">
                  <c:v>Tablet</c:v>
                </c:pt>
                <c:pt idx="8">
                  <c:v>Monitor</c:v>
                </c:pt>
                <c:pt idx="9">
                  <c:v>Keyboard</c:v>
                </c:pt>
                <c:pt idx="10">
                  <c:v>Laptop</c:v>
                </c:pt>
                <c:pt idx="11">
                  <c:v>Phone</c:v>
                </c:pt>
                <c:pt idx="12">
                  <c:v>Tablet</c:v>
                </c:pt>
                <c:pt idx="13">
                  <c:v>Monitor</c:v>
                </c:pt>
                <c:pt idx="14">
                  <c:v>Keyboard</c:v>
                </c:pt>
                <c:pt idx="15">
                  <c:v>Laptop</c:v>
                </c:pt>
                <c:pt idx="16">
                  <c:v>Phone</c:v>
                </c:pt>
                <c:pt idx="17">
                  <c:v>Tablet</c:v>
                </c:pt>
                <c:pt idx="18">
                  <c:v>Monitor</c:v>
                </c:pt>
                <c:pt idx="19">
                  <c:v>Keyboard</c:v>
                </c:pt>
                <c:pt idx="20">
                  <c:v>Laptop</c:v>
                </c:pt>
                <c:pt idx="21">
                  <c:v>Phone</c:v>
                </c:pt>
                <c:pt idx="22">
                  <c:v>Tablet</c:v>
                </c:pt>
                <c:pt idx="23">
                  <c:v>Monitor</c:v>
                </c:pt>
                <c:pt idx="24">
                  <c:v>Keyboard</c:v>
                </c:pt>
                <c:pt idx="25">
                  <c:v>Laptop</c:v>
                </c:pt>
                <c:pt idx="26">
                  <c:v>Phone</c:v>
                </c:pt>
                <c:pt idx="27">
                  <c:v>Tablet</c:v>
                </c:pt>
                <c:pt idx="28">
                  <c:v>Monitor</c:v>
                </c:pt>
                <c:pt idx="29">
                  <c:v>Keyboard</c:v>
                </c:pt>
                <c:pt idx="30">
                  <c:v>Laptop</c:v>
                </c:pt>
                <c:pt idx="31">
                  <c:v>Phone</c:v>
                </c:pt>
                <c:pt idx="32">
                  <c:v>Tablet</c:v>
                </c:pt>
                <c:pt idx="33">
                  <c:v>Monitor</c:v>
                </c:pt>
                <c:pt idx="34">
                  <c:v>Keyboard</c:v>
                </c:pt>
                <c:pt idx="35">
                  <c:v>Laptop</c:v>
                </c:pt>
                <c:pt idx="36">
                  <c:v>Phone</c:v>
                </c:pt>
                <c:pt idx="37">
                  <c:v>Tablet</c:v>
                </c:pt>
                <c:pt idx="38">
                  <c:v>Monitor</c:v>
                </c:pt>
                <c:pt idx="39">
                  <c:v>Keyboard</c:v>
                </c:pt>
                <c:pt idx="40">
                  <c:v>Laptop </c:v>
                </c:pt>
                <c:pt idx="41">
                  <c:v>Keyboard </c:v>
                </c:pt>
                <c:pt idx="42">
                  <c:v>Monitor </c:v>
                </c:pt>
                <c:pt idx="43">
                  <c:v>Phone</c:v>
                </c:pt>
                <c:pt idx="44">
                  <c:v>Tablet</c:v>
                </c:pt>
                <c:pt idx="45">
                  <c:v>Laptop </c:v>
                </c:pt>
                <c:pt idx="46">
                  <c:v>Keyboard </c:v>
                </c:pt>
                <c:pt idx="47">
                  <c:v>Monitor </c:v>
                </c:pt>
                <c:pt idx="48">
                  <c:v>Phone</c:v>
                </c:pt>
                <c:pt idx="49">
                  <c:v>Tablet</c:v>
                </c:pt>
                <c:pt idx="50">
                  <c:v>Laptop </c:v>
                </c:pt>
                <c:pt idx="51">
                  <c:v>Keyboard </c:v>
                </c:pt>
                <c:pt idx="52">
                  <c:v>Monitor </c:v>
                </c:pt>
                <c:pt idx="53">
                  <c:v>Phone</c:v>
                </c:pt>
                <c:pt idx="54">
                  <c:v>Tablet</c:v>
                </c:pt>
                <c:pt idx="55">
                  <c:v>Keyboard </c:v>
                </c:pt>
                <c:pt idx="56">
                  <c:v>Monitor </c:v>
                </c:pt>
                <c:pt idx="57">
                  <c:v>Phone </c:v>
                </c:pt>
                <c:pt idx="58">
                  <c:v>Tablet </c:v>
                </c:pt>
                <c:pt idx="59">
                  <c:v>Laptop</c:v>
                </c:pt>
                <c:pt idx="60">
                  <c:v>Keyboard </c:v>
                </c:pt>
                <c:pt idx="61">
                  <c:v>Monitor </c:v>
                </c:pt>
                <c:pt idx="62">
                  <c:v>Phone </c:v>
                </c:pt>
                <c:pt idx="63">
                  <c:v>Tablet </c:v>
                </c:pt>
                <c:pt idx="64">
                  <c:v>Laptop</c:v>
                </c:pt>
                <c:pt idx="65">
                  <c:v>Keyboard </c:v>
                </c:pt>
                <c:pt idx="66">
                  <c:v>Monitor </c:v>
                </c:pt>
                <c:pt idx="67">
                  <c:v>Phone </c:v>
                </c:pt>
                <c:pt idx="68">
                  <c:v>Tablet </c:v>
                </c:pt>
                <c:pt idx="69">
                  <c:v>Laptop</c:v>
                </c:pt>
                <c:pt idx="70">
                  <c:v>Keyboard </c:v>
                </c:pt>
                <c:pt idx="71">
                  <c:v>Monitor </c:v>
                </c:pt>
                <c:pt idx="72">
                  <c:v>Phone </c:v>
                </c:pt>
                <c:pt idx="73">
                  <c:v>Tablet </c:v>
                </c:pt>
                <c:pt idx="74">
                  <c:v>Laptop</c:v>
                </c:pt>
                <c:pt idx="75">
                  <c:v>Tablet </c:v>
                </c:pt>
                <c:pt idx="76">
                  <c:v>Monitor </c:v>
                </c:pt>
                <c:pt idx="77">
                  <c:v>Laptop </c:v>
                </c:pt>
                <c:pt idx="78">
                  <c:v>Keyboard </c:v>
                </c:pt>
                <c:pt idx="79">
                  <c:v>Phone</c:v>
                </c:pt>
                <c:pt idx="80">
                  <c:v>Tablet </c:v>
                </c:pt>
                <c:pt idx="81">
                  <c:v>Monitor </c:v>
                </c:pt>
                <c:pt idx="82">
                  <c:v>Laptop </c:v>
                </c:pt>
                <c:pt idx="83">
                  <c:v>Keyboard </c:v>
                </c:pt>
                <c:pt idx="84">
                  <c:v>Phone</c:v>
                </c:pt>
                <c:pt idx="85">
                  <c:v>Tablet </c:v>
                </c:pt>
                <c:pt idx="86">
                  <c:v>Monitor </c:v>
                </c:pt>
                <c:pt idx="87">
                  <c:v>Laptop </c:v>
                </c:pt>
                <c:pt idx="88">
                  <c:v>Keyboard </c:v>
                </c:pt>
                <c:pt idx="89">
                  <c:v>Phone</c:v>
                </c:pt>
                <c:pt idx="90">
                  <c:v>Tablet </c:v>
                </c:pt>
                <c:pt idx="91">
                  <c:v>Monitor </c:v>
                </c:pt>
                <c:pt idx="92">
                  <c:v>Laptop </c:v>
                </c:pt>
                <c:pt idx="93">
                  <c:v>Keyboard </c:v>
                </c:pt>
                <c:pt idx="94">
                  <c:v>Phone</c:v>
                </c:pt>
                <c:pt idx="95">
                  <c:v>Tablet </c:v>
                </c:pt>
                <c:pt idx="96">
                  <c:v>Monitor </c:v>
                </c:pt>
                <c:pt idx="97">
                  <c:v>Laptop </c:v>
                </c:pt>
                <c:pt idx="98">
                  <c:v>Keyboard </c:v>
                </c:pt>
                <c:pt idx="99">
                  <c:v>Phone</c:v>
                </c:pt>
              </c:strCache>
            </c:strRef>
          </c:cat>
          <c:val>
            <c:numRef>
              <c:f>Sheet5!$K$25:$K$124</c:f>
              <c:numCache>
                <c:formatCode>General</c:formatCode>
                <c:ptCount val="100"/>
                <c:pt idx="0">
                  <c:v>49726</c:v>
                </c:pt>
                <c:pt idx="1">
                  <c:v>28657</c:v>
                </c:pt>
                <c:pt idx="2">
                  <c:v>15118</c:v>
                </c:pt>
                <c:pt idx="3">
                  <c:v>43129</c:v>
                </c:pt>
                <c:pt idx="4">
                  <c:v>40998</c:v>
                </c:pt>
                <c:pt idx="5">
                  <c:v>49554</c:v>
                </c:pt>
                <c:pt idx="6">
                  <c:v>50872</c:v>
                </c:pt>
                <c:pt idx="7">
                  <c:v>53104</c:v>
                </c:pt>
                <c:pt idx="8">
                  <c:v>30978</c:v>
                </c:pt>
                <c:pt idx="9">
                  <c:v>30823</c:v>
                </c:pt>
                <c:pt idx="10">
                  <c:v>10199</c:v>
                </c:pt>
                <c:pt idx="11">
                  <c:v>10444</c:v>
                </c:pt>
                <c:pt idx="12">
                  <c:v>11135</c:v>
                </c:pt>
                <c:pt idx="13">
                  <c:v>30131</c:v>
                </c:pt>
                <c:pt idx="14">
                  <c:v>11878</c:v>
                </c:pt>
                <c:pt idx="15">
                  <c:v>36614</c:v>
                </c:pt>
                <c:pt idx="16">
                  <c:v>59362</c:v>
                </c:pt>
                <c:pt idx="17">
                  <c:v>49046</c:v>
                </c:pt>
                <c:pt idx="18">
                  <c:v>27589</c:v>
                </c:pt>
                <c:pt idx="19">
                  <c:v>13557</c:v>
                </c:pt>
                <c:pt idx="20">
                  <c:v>40196</c:v>
                </c:pt>
                <c:pt idx="21">
                  <c:v>27888</c:v>
                </c:pt>
                <c:pt idx="22">
                  <c:v>57957</c:v>
                </c:pt>
                <c:pt idx="23">
                  <c:v>48548</c:v>
                </c:pt>
                <c:pt idx="24">
                  <c:v>59600</c:v>
                </c:pt>
                <c:pt idx="25">
                  <c:v>37434</c:v>
                </c:pt>
                <c:pt idx="26">
                  <c:v>45668</c:v>
                </c:pt>
                <c:pt idx="27">
                  <c:v>42149</c:v>
                </c:pt>
                <c:pt idx="28">
                  <c:v>55878</c:v>
                </c:pt>
                <c:pt idx="29">
                  <c:v>49574</c:v>
                </c:pt>
                <c:pt idx="30">
                  <c:v>54994</c:v>
                </c:pt>
                <c:pt idx="31">
                  <c:v>28669</c:v>
                </c:pt>
                <c:pt idx="32">
                  <c:v>56985</c:v>
                </c:pt>
                <c:pt idx="33">
                  <c:v>54260</c:v>
                </c:pt>
                <c:pt idx="34">
                  <c:v>58897</c:v>
                </c:pt>
                <c:pt idx="35">
                  <c:v>46514</c:v>
                </c:pt>
                <c:pt idx="36">
                  <c:v>46526</c:v>
                </c:pt>
                <c:pt idx="37">
                  <c:v>17707</c:v>
                </c:pt>
                <c:pt idx="38">
                  <c:v>49709</c:v>
                </c:pt>
                <c:pt idx="39">
                  <c:v>37864</c:v>
                </c:pt>
                <c:pt idx="40">
                  <c:v>18263</c:v>
                </c:pt>
                <c:pt idx="41">
                  <c:v>31781</c:v>
                </c:pt>
                <c:pt idx="42">
                  <c:v>33160</c:v>
                </c:pt>
                <c:pt idx="43">
                  <c:v>48254</c:v>
                </c:pt>
                <c:pt idx="44">
                  <c:v>18059</c:v>
                </c:pt>
                <c:pt idx="45">
                  <c:v>15888</c:v>
                </c:pt>
                <c:pt idx="46">
                  <c:v>16253</c:v>
                </c:pt>
                <c:pt idx="47">
                  <c:v>59707</c:v>
                </c:pt>
                <c:pt idx="48">
                  <c:v>45905</c:v>
                </c:pt>
                <c:pt idx="49">
                  <c:v>31956</c:v>
                </c:pt>
                <c:pt idx="50">
                  <c:v>33240</c:v>
                </c:pt>
                <c:pt idx="51">
                  <c:v>20700</c:v>
                </c:pt>
                <c:pt idx="52">
                  <c:v>38524</c:v>
                </c:pt>
                <c:pt idx="53">
                  <c:v>34245</c:v>
                </c:pt>
                <c:pt idx="54">
                  <c:v>34615</c:v>
                </c:pt>
                <c:pt idx="55">
                  <c:v>48695</c:v>
                </c:pt>
                <c:pt idx="56">
                  <c:v>21837</c:v>
                </c:pt>
                <c:pt idx="57">
                  <c:v>29712</c:v>
                </c:pt>
                <c:pt idx="58">
                  <c:v>53478</c:v>
                </c:pt>
                <c:pt idx="59">
                  <c:v>58760</c:v>
                </c:pt>
                <c:pt idx="60">
                  <c:v>57827</c:v>
                </c:pt>
                <c:pt idx="61">
                  <c:v>40608</c:v>
                </c:pt>
                <c:pt idx="62">
                  <c:v>49014</c:v>
                </c:pt>
                <c:pt idx="63">
                  <c:v>48909</c:v>
                </c:pt>
                <c:pt idx="64">
                  <c:v>29843</c:v>
                </c:pt>
                <c:pt idx="65">
                  <c:v>18488</c:v>
                </c:pt>
                <c:pt idx="66">
                  <c:v>18492</c:v>
                </c:pt>
                <c:pt idx="67">
                  <c:v>49273</c:v>
                </c:pt>
                <c:pt idx="68">
                  <c:v>57803</c:v>
                </c:pt>
                <c:pt idx="69">
                  <c:v>19192</c:v>
                </c:pt>
                <c:pt idx="70">
                  <c:v>10356</c:v>
                </c:pt>
                <c:pt idx="71">
                  <c:v>57562</c:v>
                </c:pt>
                <c:pt idx="72">
                  <c:v>12974</c:v>
                </c:pt>
                <c:pt idx="73">
                  <c:v>25246</c:v>
                </c:pt>
                <c:pt idx="74">
                  <c:v>47558</c:v>
                </c:pt>
                <c:pt idx="75">
                  <c:v>57929</c:v>
                </c:pt>
                <c:pt idx="76">
                  <c:v>56610</c:v>
                </c:pt>
                <c:pt idx="77">
                  <c:v>21848</c:v>
                </c:pt>
                <c:pt idx="78">
                  <c:v>25655</c:v>
                </c:pt>
                <c:pt idx="79">
                  <c:v>20425</c:v>
                </c:pt>
                <c:pt idx="80">
                  <c:v>52429</c:v>
                </c:pt>
                <c:pt idx="81">
                  <c:v>38010</c:v>
                </c:pt>
                <c:pt idx="82">
                  <c:v>13363</c:v>
                </c:pt>
                <c:pt idx="83">
                  <c:v>34733</c:v>
                </c:pt>
                <c:pt idx="84">
                  <c:v>16252</c:v>
                </c:pt>
                <c:pt idx="85">
                  <c:v>31451</c:v>
                </c:pt>
                <c:pt idx="86">
                  <c:v>54404</c:v>
                </c:pt>
                <c:pt idx="87">
                  <c:v>52070</c:v>
                </c:pt>
                <c:pt idx="88">
                  <c:v>11215</c:v>
                </c:pt>
                <c:pt idx="89">
                  <c:v>54875</c:v>
                </c:pt>
                <c:pt idx="90">
                  <c:v>54307</c:v>
                </c:pt>
                <c:pt idx="91">
                  <c:v>58502</c:v>
                </c:pt>
                <c:pt idx="92">
                  <c:v>14033</c:v>
                </c:pt>
                <c:pt idx="93">
                  <c:v>16893</c:v>
                </c:pt>
                <c:pt idx="94">
                  <c:v>26109</c:v>
                </c:pt>
                <c:pt idx="95">
                  <c:v>22588</c:v>
                </c:pt>
                <c:pt idx="96">
                  <c:v>42166</c:v>
                </c:pt>
                <c:pt idx="97">
                  <c:v>34347</c:v>
                </c:pt>
                <c:pt idx="98">
                  <c:v>43411</c:v>
                </c:pt>
                <c:pt idx="99">
                  <c:v>46198</c:v>
                </c:pt>
              </c:numCache>
            </c:numRef>
          </c:val>
          <c:extLst>
            <c:ext xmlns:c16="http://schemas.microsoft.com/office/drawing/2014/chart" uri="{C3380CC4-5D6E-409C-BE32-E72D297353CC}">
              <c16:uniqueId val="{00000000-0C81-45C0-B9A9-64980EA16DA8}"/>
            </c:ext>
          </c:extLst>
        </c:ser>
        <c:dLbls>
          <c:showLegendKey val="0"/>
          <c:showVal val="0"/>
          <c:showCatName val="0"/>
          <c:showSerName val="0"/>
          <c:showPercent val="0"/>
          <c:showBubbleSize val="0"/>
        </c:dLbls>
        <c:gapWidth val="150"/>
        <c:overlap val="100"/>
        <c:axId val="806084032"/>
        <c:axId val="806081632"/>
      </c:barChart>
      <c:catAx>
        <c:axId val="80608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81632"/>
        <c:crosses val="autoZero"/>
        <c:auto val="1"/>
        <c:lblAlgn val="ctr"/>
        <c:lblOffset val="100"/>
        <c:noMultiLvlLbl val="0"/>
      </c:catAx>
      <c:valAx>
        <c:axId val="80608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8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Sales</a:t>
            </a:r>
            <a:r>
              <a:rPr lang="en-IN" sz="1200" b="1" baseline="0">
                <a:solidFill>
                  <a:sysClr val="windowText" lastClr="000000"/>
                </a:solidFill>
              </a:rPr>
              <a:t> vs Profit by Region</a:t>
            </a:r>
            <a:endParaRPr lang="en-IN" sz="1200" b="1">
              <a:solidFill>
                <a:sysClr val="windowText" lastClr="000000"/>
              </a:solidFill>
            </a:endParaRPr>
          </a:p>
        </c:rich>
      </c:tx>
      <c:layout>
        <c:manualLayout>
          <c:xMode val="edge"/>
          <c:yMode val="edge"/>
          <c:x val="0.55876369248486801"/>
          <c:y val="3.65826831921555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4"/>
                <c:pt idx="0">
                  <c:v>East</c:v>
                </c:pt>
                <c:pt idx="1">
                  <c:v>North</c:v>
                </c:pt>
                <c:pt idx="2">
                  <c:v>South</c:v>
                </c:pt>
                <c:pt idx="3">
                  <c:v>West</c:v>
                </c:pt>
              </c:strCache>
            </c:strRef>
          </c:cat>
          <c:val>
            <c:numRef>
              <c:f>Dashboard!$B$4:$B$8</c:f>
              <c:numCache>
                <c:formatCode>General</c:formatCode>
                <c:ptCount val="4"/>
                <c:pt idx="0">
                  <c:v>195000</c:v>
                </c:pt>
                <c:pt idx="1">
                  <c:v>212000</c:v>
                </c:pt>
                <c:pt idx="2">
                  <c:v>255000</c:v>
                </c:pt>
                <c:pt idx="3">
                  <c:v>222000</c:v>
                </c:pt>
              </c:numCache>
            </c:numRef>
          </c:val>
          <c:extLst>
            <c:ext xmlns:c16="http://schemas.microsoft.com/office/drawing/2014/chart" uri="{C3380CC4-5D6E-409C-BE32-E72D297353CC}">
              <c16:uniqueId val="{00000000-CB1B-4A31-996A-BC4D008D4A7C}"/>
            </c:ext>
          </c:extLst>
        </c:ser>
        <c:ser>
          <c:idx val="1"/>
          <c:order val="1"/>
          <c:tx>
            <c:strRef>
              <c:f>Dashboard!$C$3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4"/>
                <c:pt idx="0">
                  <c:v>East</c:v>
                </c:pt>
                <c:pt idx="1">
                  <c:v>North</c:v>
                </c:pt>
                <c:pt idx="2">
                  <c:v>South</c:v>
                </c:pt>
                <c:pt idx="3">
                  <c:v>West</c:v>
                </c:pt>
              </c:strCache>
            </c:strRef>
          </c:cat>
          <c:val>
            <c:numRef>
              <c:f>Dashboard!$C$4:$C$8</c:f>
              <c:numCache>
                <c:formatCode>General</c:formatCode>
                <c:ptCount val="4"/>
                <c:pt idx="0">
                  <c:v>30650</c:v>
                </c:pt>
                <c:pt idx="1">
                  <c:v>31700</c:v>
                </c:pt>
                <c:pt idx="2">
                  <c:v>40100</c:v>
                </c:pt>
                <c:pt idx="3">
                  <c:v>33900</c:v>
                </c:pt>
              </c:numCache>
            </c:numRef>
          </c:val>
          <c:extLst>
            <c:ext xmlns:c16="http://schemas.microsoft.com/office/drawing/2014/chart" uri="{C3380CC4-5D6E-409C-BE32-E72D297353CC}">
              <c16:uniqueId val="{00000001-CB1B-4A31-996A-BC4D008D4A7C}"/>
            </c:ext>
          </c:extLst>
        </c:ser>
        <c:dLbls>
          <c:dLblPos val="outEnd"/>
          <c:showLegendKey val="0"/>
          <c:showVal val="1"/>
          <c:showCatName val="0"/>
          <c:showSerName val="0"/>
          <c:showPercent val="0"/>
          <c:showBubbleSize val="0"/>
        </c:dLbls>
        <c:gapWidth val="219"/>
        <c:overlap val="-27"/>
        <c:axId val="518425744"/>
        <c:axId val="518426704"/>
      </c:barChart>
      <c:catAx>
        <c:axId val="51842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426704"/>
        <c:crosses val="autoZero"/>
        <c:auto val="1"/>
        <c:lblAlgn val="ctr"/>
        <c:lblOffset val="100"/>
        <c:noMultiLvlLbl val="0"/>
      </c:catAx>
      <c:valAx>
        <c:axId val="51842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42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[Dataset.xlsx]Dashboard!PivotTable1</c:name>
    <c:fmtId val="3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Distribution By Region</a:t>
            </a:r>
          </a:p>
        </c:rich>
      </c:tx>
      <c:layout>
        <c:manualLayout>
          <c:xMode val="edge"/>
          <c:yMode val="edge"/>
          <c:x val="0.28838391930659829"/>
          <c:y val="4.23476477205055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5.6089743589743592E-2"/>
          <c:y val="0.36540352036415036"/>
          <c:w val="0.71654647435897434"/>
          <c:h val="0.51907420663326176"/>
        </c:manualLayout>
      </c:layout>
      <c:doughnutChart>
        <c:varyColors val="1"/>
        <c:ser>
          <c:idx val="0"/>
          <c:order val="0"/>
          <c:tx>
            <c:strRef>
              <c:f>Dashboard!$B$3</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6C99-4351-9A09-6FA5F49A95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6C99-4351-9A09-6FA5F49A95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C99-4351-9A09-6FA5F49A95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6-6C99-4351-9A09-6FA5F49A95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Dashboard!$A$4:$A$8</c:f>
              <c:strCache>
                <c:ptCount val="4"/>
                <c:pt idx="0">
                  <c:v>East</c:v>
                </c:pt>
                <c:pt idx="1">
                  <c:v>North</c:v>
                </c:pt>
                <c:pt idx="2">
                  <c:v>South</c:v>
                </c:pt>
                <c:pt idx="3">
                  <c:v>West</c:v>
                </c:pt>
              </c:strCache>
            </c:strRef>
          </c:cat>
          <c:val>
            <c:numRef>
              <c:f>Dashboard!$B$4:$B$8</c:f>
              <c:numCache>
                <c:formatCode>General</c:formatCode>
                <c:ptCount val="4"/>
                <c:pt idx="0">
                  <c:v>195000</c:v>
                </c:pt>
                <c:pt idx="1">
                  <c:v>212000</c:v>
                </c:pt>
                <c:pt idx="2">
                  <c:v>255000</c:v>
                </c:pt>
                <c:pt idx="3">
                  <c:v>222000</c:v>
                </c:pt>
              </c:numCache>
            </c:numRef>
          </c:val>
          <c:extLst>
            <c:ext xmlns:c16="http://schemas.microsoft.com/office/drawing/2014/chart" uri="{C3380CC4-5D6E-409C-BE32-E72D297353CC}">
              <c16:uniqueId val="{00000000-6C99-4351-9A09-6FA5F49A952D}"/>
            </c:ext>
          </c:extLst>
        </c:ser>
        <c:ser>
          <c:idx val="1"/>
          <c:order val="1"/>
          <c:tx>
            <c:strRef>
              <c:f>Dashboard!$C$3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7-6C99-4351-9A09-6FA5F49A95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8-6C99-4351-9A09-6FA5F49A95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9-6C99-4351-9A09-6FA5F49A95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A-6C99-4351-9A09-6FA5F49A95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Dashboard!$A$4:$A$8</c:f>
              <c:strCache>
                <c:ptCount val="4"/>
                <c:pt idx="0">
                  <c:v>East</c:v>
                </c:pt>
                <c:pt idx="1">
                  <c:v>North</c:v>
                </c:pt>
                <c:pt idx="2">
                  <c:v>South</c:v>
                </c:pt>
                <c:pt idx="3">
                  <c:v>West</c:v>
                </c:pt>
              </c:strCache>
            </c:strRef>
          </c:cat>
          <c:val>
            <c:numRef>
              <c:f>Dashboard!$C$4:$C$8</c:f>
              <c:numCache>
                <c:formatCode>General</c:formatCode>
                <c:ptCount val="4"/>
                <c:pt idx="0">
                  <c:v>30650</c:v>
                </c:pt>
                <c:pt idx="1">
                  <c:v>31700</c:v>
                </c:pt>
                <c:pt idx="2">
                  <c:v>40100</c:v>
                </c:pt>
                <c:pt idx="3">
                  <c:v>33900</c:v>
                </c:pt>
              </c:numCache>
            </c:numRef>
          </c:val>
          <c:extLst>
            <c:ext xmlns:c16="http://schemas.microsoft.com/office/drawing/2014/chart" uri="{C3380CC4-5D6E-409C-BE32-E72D297353CC}">
              <c16:uniqueId val="{00000001-6C99-4351-9A09-6FA5F49A952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[Dataset.xlsx]Dashboard!PivotTable1</c:name>
    <c:fmtId val="4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t>Sales &amp;</a:t>
            </a:r>
            <a:r>
              <a:rPr lang="en-IN" sz="1200" baseline="0"/>
              <a:t> Profit By Regiom</a:t>
            </a:r>
            <a:endParaRPr lang="en-IN" sz="1200"/>
          </a:p>
        </c:rich>
      </c:tx>
      <c:layout>
        <c:manualLayout>
          <c:xMode val="edge"/>
          <c:yMode val="edge"/>
          <c:x val="0.36452128266575373"/>
          <c:y val="1.967415764571717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4"/>
                <c:pt idx="0">
                  <c:v>East</c:v>
                </c:pt>
                <c:pt idx="1">
                  <c:v>North</c:v>
                </c:pt>
                <c:pt idx="2">
                  <c:v>South</c:v>
                </c:pt>
                <c:pt idx="3">
                  <c:v>West</c:v>
                </c:pt>
              </c:strCache>
            </c:strRef>
          </c:cat>
          <c:val>
            <c:numRef>
              <c:f>Dashboard!$B$4:$B$8</c:f>
              <c:numCache>
                <c:formatCode>General</c:formatCode>
                <c:ptCount val="4"/>
                <c:pt idx="0">
                  <c:v>195000</c:v>
                </c:pt>
                <c:pt idx="1">
                  <c:v>212000</c:v>
                </c:pt>
                <c:pt idx="2">
                  <c:v>255000</c:v>
                </c:pt>
                <c:pt idx="3">
                  <c:v>222000</c:v>
                </c:pt>
              </c:numCache>
            </c:numRef>
          </c:val>
          <c:extLst>
            <c:ext xmlns:c16="http://schemas.microsoft.com/office/drawing/2014/chart" uri="{C3380CC4-5D6E-409C-BE32-E72D297353CC}">
              <c16:uniqueId val="{00000000-7DD6-4C0E-A047-5FC4DE2CFA6B}"/>
            </c:ext>
          </c:extLst>
        </c:ser>
        <c:ser>
          <c:idx val="1"/>
          <c:order val="1"/>
          <c:tx>
            <c:strRef>
              <c:f>Dashboard!$C$3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4"/>
                <c:pt idx="0">
                  <c:v>East</c:v>
                </c:pt>
                <c:pt idx="1">
                  <c:v>North</c:v>
                </c:pt>
                <c:pt idx="2">
                  <c:v>South</c:v>
                </c:pt>
                <c:pt idx="3">
                  <c:v>West</c:v>
                </c:pt>
              </c:strCache>
            </c:strRef>
          </c:cat>
          <c:val>
            <c:numRef>
              <c:f>Dashboard!$C$4:$C$8</c:f>
              <c:numCache>
                <c:formatCode>General</c:formatCode>
                <c:ptCount val="4"/>
                <c:pt idx="0">
                  <c:v>30650</c:v>
                </c:pt>
                <c:pt idx="1">
                  <c:v>31700</c:v>
                </c:pt>
                <c:pt idx="2">
                  <c:v>40100</c:v>
                </c:pt>
                <c:pt idx="3">
                  <c:v>33900</c:v>
                </c:pt>
              </c:numCache>
            </c:numRef>
          </c:val>
          <c:extLst>
            <c:ext xmlns:c16="http://schemas.microsoft.com/office/drawing/2014/chart" uri="{C3380CC4-5D6E-409C-BE32-E72D297353CC}">
              <c16:uniqueId val="{00000001-7DD6-4C0E-A047-5FC4DE2CFA6B}"/>
            </c:ext>
          </c:extLst>
        </c:ser>
        <c:dLbls>
          <c:showLegendKey val="0"/>
          <c:showVal val="1"/>
          <c:showCatName val="0"/>
          <c:showSerName val="0"/>
          <c:showPercent val="0"/>
          <c:showBubbleSize val="0"/>
        </c:dLbls>
        <c:gapWidth val="150"/>
        <c:shape val="box"/>
        <c:axId val="671260080"/>
        <c:axId val="671260560"/>
        <c:axId val="0"/>
      </c:bar3DChart>
      <c:catAx>
        <c:axId val="6712600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60560"/>
        <c:crosses val="autoZero"/>
        <c:auto val="1"/>
        <c:lblAlgn val="ctr"/>
        <c:lblOffset val="100"/>
        <c:noMultiLvlLbl val="0"/>
      </c:catAx>
      <c:valAx>
        <c:axId val="67126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343989</xdr:colOff>
      <xdr:row>10</xdr:row>
      <xdr:rowOff>114299</xdr:rowOff>
    </xdr:to>
    <xdr:graphicFrame macro="">
      <xdr:nvGraphicFramePr>
        <xdr:cNvPr id="2" name="Chart 1">
          <a:extLst>
            <a:ext uri="{FF2B5EF4-FFF2-40B4-BE49-F238E27FC236}">
              <a16:creationId xmlns:a16="http://schemas.microsoft.com/office/drawing/2014/main" id="{5A2288FA-5AE8-458F-B926-A20A7C407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19</xdr:row>
      <xdr:rowOff>0</xdr:rowOff>
    </xdr:from>
    <xdr:to>
      <xdr:col>11</xdr:col>
      <xdr:colOff>213360</xdr:colOff>
      <xdr:row>29</xdr:row>
      <xdr:rowOff>167640</xdr:rowOff>
    </xdr:to>
    <xdr:graphicFrame macro="">
      <xdr:nvGraphicFramePr>
        <xdr:cNvPr id="3" name="Chart 2">
          <a:extLst>
            <a:ext uri="{FF2B5EF4-FFF2-40B4-BE49-F238E27FC236}">
              <a16:creationId xmlns:a16="http://schemas.microsoft.com/office/drawing/2014/main" id="{A5572641-2A1C-4161-858B-147B227B1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11</xdr:row>
      <xdr:rowOff>0</xdr:rowOff>
    </xdr:from>
    <xdr:to>
      <xdr:col>12</xdr:col>
      <xdr:colOff>298837</xdr:colOff>
      <xdr:row>23</xdr:row>
      <xdr:rowOff>8944</xdr:rowOff>
    </xdr:to>
    <xdr:graphicFrame macro="">
      <xdr:nvGraphicFramePr>
        <xdr:cNvPr id="4" name="Chart 3">
          <a:extLst>
            <a:ext uri="{FF2B5EF4-FFF2-40B4-BE49-F238E27FC236}">
              <a16:creationId xmlns:a16="http://schemas.microsoft.com/office/drawing/2014/main" id="{A2DACC52-0590-4610-991F-C98DB107E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xdr:row>
      <xdr:rowOff>0</xdr:rowOff>
    </xdr:from>
    <xdr:to>
      <xdr:col>15</xdr:col>
      <xdr:colOff>441960</xdr:colOff>
      <xdr:row>16</xdr:row>
      <xdr:rowOff>76200</xdr:rowOff>
    </xdr:to>
    <xdr:graphicFrame macro="">
      <xdr:nvGraphicFramePr>
        <xdr:cNvPr id="5" name="Chart 4">
          <a:extLst>
            <a:ext uri="{FF2B5EF4-FFF2-40B4-BE49-F238E27FC236}">
              <a16:creationId xmlns:a16="http://schemas.microsoft.com/office/drawing/2014/main" id="{22171CCB-5833-4EC4-862B-6A06BDFCC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609600</xdr:colOff>
      <xdr:row>10</xdr:row>
      <xdr:rowOff>137161</xdr:rowOff>
    </xdr:from>
    <xdr:to>
      <xdr:col>3</xdr:col>
      <xdr:colOff>342900</xdr:colOff>
      <xdr:row>19</xdr:row>
      <xdr:rowOff>121920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AAA86C7C-1DA3-843D-973D-2B61BE760DE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70660" y="2156461"/>
              <a:ext cx="1363980" cy="1630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10</xdr:row>
      <xdr:rowOff>129541</xdr:rowOff>
    </xdr:from>
    <xdr:to>
      <xdr:col>1</xdr:col>
      <xdr:colOff>754380</xdr:colOff>
      <xdr:row>19</xdr:row>
      <xdr:rowOff>152400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92237FC-2B74-E055-8661-B3210AA986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220" y="2148841"/>
              <a:ext cx="1379220" cy="1668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5</xdr:row>
      <xdr:rowOff>167640</xdr:rowOff>
    </xdr:from>
    <xdr:to>
      <xdr:col>8</xdr:col>
      <xdr:colOff>403860</xdr:colOff>
      <xdr:row>22</xdr:row>
      <xdr:rowOff>167640</xdr:rowOff>
    </xdr:to>
    <xdr:graphicFrame macro="">
      <xdr:nvGraphicFramePr>
        <xdr:cNvPr id="7" name="Chart 6">
          <a:extLst>
            <a:ext uri="{FF2B5EF4-FFF2-40B4-BE49-F238E27FC236}">
              <a16:creationId xmlns:a16="http://schemas.microsoft.com/office/drawing/2014/main" id="{69C30E2C-0B1E-6621-CC40-E513B10E7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601980</xdr:colOff>
      <xdr:row>0</xdr:row>
      <xdr:rowOff>114465</xdr:rowOff>
    </xdr:from>
    <xdr:to>
      <xdr:col>12</xdr:col>
      <xdr:colOff>495300</xdr:colOff>
      <xdr:row>12</xdr:row>
      <xdr:rowOff>168965</xdr:rowOff>
    </xdr:to>
    <xdr:graphicFrame macro="">
      <xdr:nvGraphicFramePr>
        <xdr:cNvPr id="6" name="Chart 5">
          <a:extLst>
            <a:ext uri="{FF2B5EF4-FFF2-40B4-BE49-F238E27FC236}">
              <a16:creationId xmlns:a16="http://schemas.microsoft.com/office/drawing/2014/main" id="{CB3DFF32-8413-E7D8-3001-5D072F1D2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510540</xdr:colOff>
      <xdr:row>12</xdr:row>
      <xdr:rowOff>163830</xdr:rowOff>
    </xdr:from>
    <xdr:to>
      <xdr:col>13</xdr:col>
      <xdr:colOff>434340</xdr:colOff>
      <xdr:row>25</xdr:row>
      <xdr:rowOff>83820</xdr:rowOff>
    </xdr:to>
    <xdr:graphicFrame macro="">
      <xdr:nvGraphicFramePr>
        <xdr:cNvPr id="11" name="Chart 10">
          <a:extLst>
            <a:ext uri="{FF2B5EF4-FFF2-40B4-BE49-F238E27FC236}">
              <a16:creationId xmlns:a16="http://schemas.microsoft.com/office/drawing/2014/main" id="{D1D01A58-289B-0548-7E16-546DDEFF3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6.867822453707" createdVersion="8" refreshedVersion="8" minRefreshableVersion="3" recordCount="30" xr:uid="{6BAE0DAB-5EEC-4F80-9011-49C214A503C4}">
  <cacheSource type="worksheet">
    <worksheetSource name="Table2"/>
  </cacheSource>
  <cacheFields count="5">
    <cacheField name="Date" numFmtId="14">
      <sharedItems containsSemiMixedTypes="0" containsNonDate="0" containsDate="1" containsString="0" minDate="2026-01-01T00:00:00" maxDate="2026-01-31T00:00:00"/>
    </cacheField>
    <cacheField name="Product" numFmtId="0">
      <sharedItems count="3">
        <s v="Laptop"/>
        <s v="Mobile"/>
        <s v="Tablet"/>
      </sharedItems>
    </cacheField>
    <cacheField name="Region" numFmtId="0">
      <sharedItems count="4">
        <s v="South"/>
        <s v="North"/>
        <s v="East"/>
        <s v="West"/>
      </sharedItems>
    </cacheField>
    <cacheField name="Sales" numFmtId="0">
      <sharedItems containsSemiMixedTypes="0" containsString="0" containsNumber="1" containsInteger="1" minValue="14000" maxValue="53000"/>
    </cacheField>
    <cacheField name="Profit" numFmtId="0">
      <sharedItems containsSemiMixedTypes="0" containsString="0" containsNumber="1" containsInteger="1" minValue="1900" maxValue="9200"/>
    </cacheField>
  </cacheFields>
  <extLst>
    <ext xmlns:x14="http://schemas.microsoft.com/office/spreadsheetml/2009/9/main" uri="{725AE2AE-9491-48be-B2B4-4EB974FC3084}">
      <x14:pivotCacheDefinition pivotCacheId="535144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6.922848958333" createdVersion="8" refreshedVersion="8" minRefreshableVersion="3" recordCount="100" xr:uid="{445D2046-108E-460F-9AD1-F1501FAA96DA}">
  <cacheSource type="worksheet">
    <worksheetSource ref="A1:E101" sheet="Sheet5"/>
  </cacheSource>
  <cacheFields count="5">
    <cacheField name="Date" numFmtId="14">
      <sharedItems containsSemiMixedTypes="0" containsNonDate="0" containsDate="1" containsString="0" minDate="2025-01-01T00:00:00" maxDate="2025-04-11T00:00:00"/>
    </cacheField>
    <cacheField name="Product" numFmtId="0">
      <sharedItems/>
    </cacheField>
    <cacheField name="Region" numFmtId="0">
      <sharedItems count="8">
        <s v="North"/>
        <s v="South"/>
        <s v="East"/>
        <s v="West"/>
        <s v="North "/>
        <s v="South "/>
        <s v="West "/>
        <s v=" south"/>
      </sharedItems>
    </cacheField>
    <cacheField name="Sales" numFmtId="0">
      <sharedItems containsSemiMixedTypes="0" containsString="0" containsNumber="1" containsInteger="1" minValue="10199" maxValue="59707"/>
    </cacheField>
    <cacheField name="Profit" numFmtId="0">
      <sharedItems containsSemiMixedTypes="0" containsString="0" containsNumber="1" containsInteger="1" minValue="2064" maxValue="99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6-01-01T00:00:00"/>
    <x v="0"/>
    <x v="0"/>
    <n v="50000"/>
    <n v="8000"/>
  </r>
  <r>
    <d v="2026-01-02T00:00:00"/>
    <x v="1"/>
    <x v="1"/>
    <n v="20000"/>
    <n v="3000"/>
  </r>
  <r>
    <d v="2026-01-03T00:00:00"/>
    <x v="2"/>
    <x v="2"/>
    <n v="15000"/>
    <n v="2000"/>
  </r>
  <r>
    <d v="2026-01-04T00:00:00"/>
    <x v="0"/>
    <x v="3"/>
    <n v="45000"/>
    <n v="7000"/>
  </r>
  <r>
    <d v="2026-01-05T00:00:00"/>
    <x v="1"/>
    <x v="0"/>
    <n v="22000"/>
    <n v="3500"/>
  </r>
  <r>
    <d v="2026-01-06T00:00:00"/>
    <x v="2"/>
    <x v="1"/>
    <n v="18000"/>
    <n v="2500"/>
  </r>
  <r>
    <d v="2026-01-07T00:00:00"/>
    <x v="0"/>
    <x v="2"/>
    <n v="52000"/>
    <n v="9000"/>
  </r>
  <r>
    <d v="2026-01-08T00:00:00"/>
    <x v="1"/>
    <x v="3"/>
    <n v="25000"/>
    <n v="4000"/>
  </r>
  <r>
    <d v="2026-01-09T00:00:00"/>
    <x v="2"/>
    <x v="0"/>
    <n v="16000"/>
    <n v="2100"/>
  </r>
  <r>
    <d v="2026-01-10T00:00:00"/>
    <x v="0"/>
    <x v="1"/>
    <n v="48000"/>
    <n v="7500"/>
  </r>
  <r>
    <d v="2026-01-11T00:00:00"/>
    <x v="1"/>
    <x v="2"/>
    <n v="23000"/>
    <n v="3200"/>
  </r>
  <r>
    <d v="2026-01-12T00:00:00"/>
    <x v="2"/>
    <x v="3"/>
    <n v="17000"/>
    <n v="2200"/>
  </r>
  <r>
    <d v="2026-01-13T00:00:00"/>
    <x v="0"/>
    <x v="0"/>
    <n v="51000"/>
    <n v="8500"/>
  </r>
  <r>
    <d v="2026-01-14T00:00:00"/>
    <x v="1"/>
    <x v="1"/>
    <n v="21000"/>
    <n v="3100"/>
  </r>
  <r>
    <d v="2026-01-15T00:00:00"/>
    <x v="2"/>
    <x v="2"/>
    <n v="14000"/>
    <n v="1900"/>
  </r>
  <r>
    <d v="2026-01-16T00:00:00"/>
    <x v="0"/>
    <x v="3"/>
    <n v="46000"/>
    <n v="7200"/>
  </r>
  <r>
    <d v="2026-01-17T00:00:00"/>
    <x v="1"/>
    <x v="0"/>
    <n v="24000"/>
    <n v="3600"/>
  </r>
  <r>
    <d v="2026-01-18T00:00:00"/>
    <x v="2"/>
    <x v="1"/>
    <n v="19000"/>
    <n v="2600"/>
  </r>
  <r>
    <d v="2026-01-19T00:00:00"/>
    <x v="0"/>
    <x v="2"/>
    <n v="53000"/>
    <n v="9200"/>
  </r>
  <r>
    <d v="2026-01-20T00:00:00"/>
    <x v="1"/>
    <x v="3"/>
    <n v="26000"/>
    <n v="4100"/>
  </r>
  <r>
    <d v="2026-01-21T00:00:00"/>
    <x v="2"/>
    <x v="0"/>
    <n v="16500"/>
    <n v="2150"/>
  </r>
  <r>
    <d v="2026-01-22T00:00:00"/>
    <x v="0"/>
    <x v="1"/>
    <n v="47000"/>
    <n v="7400"/>
  </r>
  <r>
    <d v="2026-01-23T00:00:00"/>
    <x v="1"/>
    <x v="2"/>
    <n v="22500"/>
    <n v="3300"/>
  </r>
  <r>
    <d v="2026-01-24T00:00:00"/>
    <x v="2"/>
    <x v="3"/>
    <n v="17500"/>
    <n v="2300"/>
  </r>
  <r>
    <d v="2026-01-25T00:00:00"/>
    <x v="0"/>
    <x v="0"/>
    <n v="52000"/>
    <n v="8800"/>
  </r>
  <r>
    <d v="2026-01-26T00:00:00"/>
    <x v="1"/>
    <x v="1"/>
    <n v="20500"/>
    <n v="3050"/>
  </r>
  <r>
    <d v="2026-01-27T00:00:00"/>
    <x v="2"/>
    <x v="2"/>
    <n v="15500"/>
    <n v="2050"/>
  </r>
  <r>
    <d v="2026-01-28T00:00:00"/>
    <x v="0"/>
    <x v="3"/>
    <n v="45500"/>
    <n v="7100"/>
  </r>
  <r>
    <d v="2026-01-29T00:00:00"/>
    <x v="1"/>
    <x v="0"/>
    <n v="23500"/>
    <n v="3450"/>
  </r>
  <r>
    <d v="2026-01-30T00:00:00"/>
    <x v="2"/>
    <x v="1"/>
    <n v="18500"/>
    <n v="25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5-01-01T00:00:00"/>
    <s v="Laptop"/>
    <x v="0"/>
    <n v="49726"/>
    <n v="8748"/>
  </r>
  <r>
    <d v="2025-01-02T00:00:00"/>
    <s v="Phone"/>
    <x v="1"/>
    <n v="28657"/>
    <n v="5565"/>
  </r>
  <r>
    <d v="2025-01-03T00:00:00"/>
    <s v="Tablet"/>
    <x v="2"/>
    <n v="15118"/>
    <n v="3709"/>
  </r>
  <r>
    <d v="2025-01-04T00:00:00"/>
    <s v="Monitor"/>
    <x v="3"/>
    <n v="43129"/>
    <n v="5437"/>
  </r>
  <r>
    <d v="2025-01-05T00:00:00"/>
    <s v="Keyboard"/>
    <x v="0"/>
    <n v="40998"/>
    <n v="9330"/>
  </r>
  <r>
    <d v="2025-01-06T00:00:00"/>
    <s v="Laptop"/>
    <x v="1"/>
    <n v="49554"/>
    <n v="7509"/>
  </r>
  <r>
    <d v="2025-01-07T00:00:00"/>
    <s v="Phone"/>
    <x v="2"/>
    <n v="50872"/>
    <n v="4107"/>
  </r>
  <r>
    <d v="2025-01-08T00:00:00"/>
    <s v="Tablet"/>
    <x v="3"/>
    <n v="53104"/>
    <n v="6934"/>
  </r>
  <r>
    <d v="2025-01-09T00:00:00"/>
    <s v="Monitor"/>
    <x v="0"/>
    <n v="30978"/>
    <n v="2446"/>
  </r>
  <r>
    <d v="2025-01-10T00:00:00"/>
    <s v="Keyboard"/>
    <x v="1"/>
    <n v="30823"/>
    <n v="3343"/>
  </r>
  <r>
    <d v="2025-01-11T00:00:00"/>
    <s v="Laptop"/>
    <x v="2"/>
    <n v="10199"/>
    <n v="3670"/>
  </r>
  <r>
    <d v="2025-01-12T00:00:00"/>
    <s v="Phone"/>
    <x v="3"/>
    <n v="10444"/>
    <n v="2064"/>
  </r>
  <r>
    <d v="2025-01-13T00:00:00"/>
    <s v="Tablet"/>
    <x v="2"/>
    <n v="11135"/>
    <n v="9832"/>
  </r>
  <r>
    <d v="2025-01-14T00:00:00"/>
    <s v="Monitor"/>
    <x v="3"/>
    <n v="30131"/>
    <n v="7200"/>
  </r>
  <r>
    <d v="2025-01-15T00:00:00"/>
    <s v="Keyboard"/>
    <x v="4"/>
    <n v="11878"/>
    <n v="3103"/>
  </r>
  <r>
    <d v="2025-01-16T00:00:00"/>
    <s v="Laptop"/>
    <x v="1"/>
    <n v="36614"/>
    <n v="4570"/>
  </r>
  <r>
    <d v="2025-01-17T00:00:00"/>
    <s v="Phone"/>
    <x v="2"/>
    <n v="59362"/>
    <n v="8930"/>
  </r>
  <r>
    <d v="2025-01-18T00:00:00"/>
    <s v="Tablet"/>
    <x v="3"/>
    <n v="49046"/>
    <n v="9924"/>
  </r>
  <r>
    <d v="2025-01-19T00:00:00"/>
    <s v="Monitor"/>
    <x v="4"/>
    <n v="27589"/>
    <n v="6385"/>
  </r>
  <r>
    <d v="2025-01-20T00:00:00"/>
    <s v="Keyboard"/>
    <x v="1"/>
    <n v="13557"/>
    <n v="3414"/>
  </r>
  <r>
    <d v="2025-01-21T00:00:00"/>
    <s v="Laptop"/>
    <x v="2"/>
    <n v="40196"/>
    <n v="2273"/>
  </r>
  <r>
    <d v="2025-01-22T00:00:00"/>
    <s v="Phone"/>
    <x v="3"/>
    <n v="27888"/>
    <n v="6733"/>
  </r>
  <r>
    <d v="2025-01-23T00:00:00"/>
    <s v="Tablet"/>
    <x v="4"/>
    <n v="57957"/>
    <n v="4926"/>
  </r>
  <r>
    <d v="2025-01-24T00:00:00"/>
    <s v="Monitor"/>
    <x v="1"/>
    <n v="48548"/>
    <n v="5999"/>
  </r>
  <r>
    <d v="2025-01-25T00:00:00"/>
    <s v="Keyboard"/>
    <x v="5"/>
    <n v="59600"/>
    <n v="2914"/>
  </r>
  <r>
    <d v="2025-01-26T00:00:00"/>
    <s v="Laptop"/>
    <x v="2"/>
    <n v="37434"/>
    <n v="8881"/>
  </r>
  <r>
    <d v="2025-01-27T00:00:00"/>
    <s v="Phone"/>
    <x v="6"/>
    <n v="45668"/>
    <n v="6444"/>
  </r>
  <r>
    <d v="2025-01-28T00:00:00"/>
    <s v="Tablet"/>
    <x v="0"/>
    <n v="42149"/>
    <n v="6656"/>
  </r>
  <r>
    <d v="2025-01-29T00:00:00"/>
    <s v="Monitor"/>
    <x v="5"/>
    <n v="55878"/>
    <n v="2272"/>
  </r>
  <r>
    <d v="2025-01-30T00:00:00"/>
    <s v="Keyboard"/>
    <x v="2"/>
    <n v="49574"/>
    <n v="7514"/>
  </r>
  <r>
    <d v="2025-01-31T00:00:00"/>
    <s v="Laptop"/>
    <x v="6"/>
    <n v="54994"/>
    <n v="4828"/>
  </r>
  <r>
    <d v="2025-02-01T00:00:00"/>
    <s v="Phone"/>
    <x v="0"/>
    <n v="28669"/>
    <n v="2396"/>
  </r>
  <r>
    <d v="2025-02-02T00:00:00"/>
    <s v="Tablet"/>
    <x v="5"/>
    <n v="56985"/>
    <n v="4648"/>
  </r>
  <r>
    <d v="2025-02-03T00:00:00"/>
    <s v="Monitor"/>
    <x v="2"/>
    <n v="54260"/>
    <n v="6600"/>
  </r>
  <r>
    <d v="2025-02-04T00:00:00"/>
    <s v="Keyboard"/>
    <x v="6"/>
    <n v="58897"/>
    <n v="6189"/>
  </r>
  <r>
    <d v="2025-02-05T00:00:00"/>
    <s v="Laptop"/>
    <x v="0"/>
    <n v="46514"/>
    <n v="7581"/>
  </r>
  <r>
    <d v="2025-02-06T00:00:00"/>
    <s v="Phone"/>
    <x v="5"/>
    <n v="46526"/>
    <n v="7062"/>
  </r>
  <r>
    <d v="2025-02-07T00:00:00"/>
    <s v="Tablet"/>
    <x v="2"/>
    <n v="17707"/>
    <n v="3002"/>
  </r>
  <r>
    <d v="2025-02-08T00:00:00"/>
    <s v="Monitor"/>
    <x v="6"/>
    <n v="49709"/>
    <n v="8863"/>
  </r>
  <r>
    <d v="2025-02-09T00:00:00"/>
    <s v="Keyboard"/>
    <x v="0"/>
    <n v="37864"/>
    <n v="5577"/>
  </r>
  <r>
    <d v="2025-02-10T00:00:00"/>
    <s v="Laptop "/>
    <x v="5"/>
    <n v="18263"/>
    <n v="8224"/>
  </r>
  <r>
    <d v="2025-02-11T00:00:00"/>
    <s v="Keyboard "/>
    <x v="2"/>
    <n v="31781"/>
    <n v="8053"/>
  </r>
  <r>
    <d v="2025-02-12T00:00:00"/>
    <s v="Monitor "/>
    <x v="6"/>
    <n v="33160"/>
    <n v="7910"/>
  </r>
  <r>
    <d v="2025-02-13T00:00:00"/>
    <s v="Phone"/>
    <x v="0"/>
    <n v="48254"/>
    <n v="3706"/>
  </r>
  <r>
    <d v="2025-02-14T00:00:00"/>
    <s v="Tablet"/>
    <x v="5"/>
    <n v="18059"/>
    <n v="7473"/>
  </r>
  <r>
    <d v="2025-02-15T00:00:00"/>
    <s v="Laptop "/>
    <x v="2"/>
    <n v="15888"/>
    <n v="5884"/>
  </r>
  <r>
    <d v="2025-02-16T00:00:00"/>
    <s v="Keyboard "/>
    <x v="6"/>
    <n v="16253"/>
    <n v="2581"/>
  </r>
  <r>
    <d v="2025-02-17T00:00:00"/>
    <s v="Monitor "/>
    <x v="6"/>
    <n v="59707"/>
    <n v="4506"/>
  </r>
  <r>
    <d v="2025-02-18T00:00:00"/>
    <s v="Phone"/>
    <x v="2"/>
    <n v="45905"/>
    <n v="2611"/>
  </r>
  <r>
    <d v="2025-02-19T00:00:00"/>
    <s v="Tablet"/>
    <x v="5"/>
    <n v="31956"/>
    <n v="3448"/>
  </r>
  <r>
    <d v="2025-02-20T00:00:00"/>
    <s v="Laptop "/>
    <x v="0"/>
    <n v="33240"/>
    <n v="9449"/>
  </r>
  <r>
    <d v="2025-02-21T00:00:00"/>
    <s v="Keyboard "/>
    <x v="6"/>
    <n v="20700"/>
    <n v="8318"/>
  </r>
  <r>
    <d v="2025-02-22T00:00:00"/>
    <s v="Monitor "/>
    <x v="2"/>
    <n v="38524"/>
    <n v="3767"/>
  </r>
  <r>
    <d v="2025-02-23T00:00:00"/>
    <s v="Phone"/>
    <x v="5"/>
    <n v="34245"/>
    <n v="7652"/>
  </r>
  <r>
    <d v="2025-02-24T00:00:00"/>
    <s v="Tablet"/>
    <x v="0"/>
    <n v="34615"/>
    <n v="2629"/>
  </r>
  <r>
    <d v="2025-02-25T00:00:00"/>
    <s v="Keyboard "/>
    <x v="6"/>
    <n v="48695"/>
    <n v="3872"/>
  </r>
  <r>
    <d v="2025-02-26T00:00:00"/>
    <s v="Monitor "/>
    <x v="2"/>
    <n v="21837"/>
    <n v="8983"/>
  </r>
  <r>
    <d v="2025-02-27T00:00:00"/>
    <s v="Phone "/>
    <x v="5"/>
    <n v="29712"/>
    <n v="5878"/>
  </r>
  <r>
    <d v="2025-02-28T00:00:00"/>
    <s v="Tablet "/>
    <x v="0"/>
    <n v="53478"/>
    <n v="5260"/>
  </r>
  <r>
    <d v="2025-03-01T00:00:00"/>
    <s v="Laptop"/>
    <x v="6"/>
    <n v="58760"/>
    <n v="3228"/>
  </r>
  <r>
    <d v="2025-03-02T00:00:00"/>
    <s v="Keyboard "/>
    <x v="2"/>
    <n v="57827"/>
    <n v="8050"/>
  </r>
  <r>
    <d v="2025-03-03T00:00:00"/>
    <s v="Monitor "/>
    <x v="5"/>
    <n v="40608"/>
    <n v="6821"/>
  </r>
  <r>
    <d v="2025-03-04T00:00:00"/>
    <s v="Phone "/>
    <x v="0"/>
    <n v="49014"/>
    <n v="6536"/>
  </r>
  <r>
    <d v="2025-03-05T00:00:00"/>
    <s v="Tablet "/>
    <x v="6"/>
    <n v="48909"/>
    <n v="5424"/>
  </r>
  <r>
    <d v="2025-03-06T00:00:00"/>
    <s v="Laptop"/>
    <x v="2"/>
    <n v="29843"/>
    <n v="3907"/>
  </r>
  <r>
    <d v="2025-03-07T00:00:00"/>
    <s v="Keyboard "/>
    <x v="5"/>
    <n v="18488"/>
    <n v="2890"/>
  </r>
  <r>
    <d v="2025-03-08T00:00:00"/>
    <s v="Monitor "/>
    <x v="0"/>
    <n v="18492"/>
    <n v="9122"/>
  </r>
  <r>
    <d v="2025-03-09T00:00:00"/>
    <s v="Phone "/>
    <x v="6"/>
    <n v="49273"/>
    <n v="3647"/>
  </r>
  <r>
    <d v="2025-03-10T00:00:00"/>
    <s v="Tablet "/>
    <x v="2"/>
    <n v="57803"/>
    <n v="6141"/>
  </r>
  <r>
    <d v="2025-03-11T00:00:00"/>
    <s v="Laptop"/>
    <x v="5"/>
    <n v="19192"/>
    <n v="3544"/>
  </r>
  <r>
    <d v="2025-03-12T00:00:00"/>
    <s v="Keyboard "/>
    <x v="0"/>
    <n v="10356"/>
    <n v="7753"/>
  </r>
  <r>
    <d v="2025-03-13T00:00:00"/>
    <s v="Monitor "/>
    <x v="2"/>
    <n v="57562"/>
    <n v="5137"/>
  </r>
  <r>
    <d v="2025-03-14T00:00:00"/>
    <s v="Phone "/>
    <x v="3"/>
    <n v="12974"/>
    <n v="4644"/>
  </r>
  <r>
    <d v="2025-03-15T00:00:00"/>
    <s v="Tablet "/>
    <x v="4"/>
    <n v="25246"/>
    <n v="6846"/>
  </r>
  <r>
    <d v="2025-03-16T00:00:00"/>
    <s v="Laptop"/>
    <x v="7"/>
    <n v="47558"/>
    <n v="4777"/>
  </r>
  <r>
    <d v="2025-03-17T00:00:00"/>
    <s v="Tablet "/>
    <x v="2"/>
    <n v="57929"/>
    <n v="4381"/>
  </r>
  <r>
    <d v="2025-03-18T00:00:00"/>
    <s v="Monitor "/>
    <x v="3"/>
    <n v="56610"/>
    <n v="2627"/>
  </r>
  <r>
    <d v="2025-03-19T00:00:00"/>
    <s v="Laptop "/>
    <x v="4"/>
    <n v="21848"/>
    <n v="6403"/>
  </r>
  <r>
    <d v="2025-03-20T00:00:00"/>
    <s v="Keyboard "/>
    <x v="7"/>
    <n v="25655"/>
    <n v="5310"/>
  </r>
  <r>
    <d v="2025-03-21T00:00:00"/>
    <s v="Phone"/>
    <x v="2"/>
    <n v="20425"/>
    <n v="6060"/>
  </r>
  <r>
    <d v="2025-03-22T00:00:00"/>
    <s v="Tablet "/>
    <x v="3"/>
    <n v="52429"/>
    <n v="6786"/>
  </r>
  <r>
    <d v="2025-03-23T00:00:00"/>
    <s v="Monitor "/>
    <x v="4"/>
    <n v="38010"/>
    <n v="5916"/>
  </r>
  <r>
    <d v="2025-03-24T00:00:00"/>
    <s v="Laptop "/>
    <x v="7"/>
    <n v="13363"/>
    <n v="4564"/>
  </r>
  <r>
    <d v="2025-03-25T00:00:00"/>
    <s v="Keyboard "/>
    <x v="2"/>
    <n v="34733"/>
    <n v="3805"/>
  </r>
  <r>
    <d v="2025-03-26T00:00:00"/>
    <s v="Phone"/>
    <x v="3"/>
    <n v="16252"/>
    <n v="4220"/>
  </r>
  <r>
    <d v="2025-03-27T00:00:00"/>
    <s v="Tablet "/>
    <x v="4"/>
    <n v="31451"/>
    <n v="2589"/>
  </r>
  <r>
    <d v="2025-03-28T00:00:00"/>
    <s v="Monitor "/>
    <x v="0"/>
    <n v="54404"/>
    <n v="7177"/>
  </r>
  <r>
    <d v="2025-03-29T00:00:00"/>
    <s v="Laptop "/>
    <x v="1"/>
    <n v="52070"/>
    <n v="9539"/>
  </r>
  <r>
    <d v="2025-03-30T00:00:00"/>
    <s v="Keyboard "/>
    <x v="2"/>
    <n v="11215"/>
    <n v="3146"/>
  </r>
  <r>
    <d v="2025-03-31T00:00:00"/>
    <s v="Phone"/>
    <x v="3"/>
    <n v="54875"/>
    <n v="5992"/>
  </r>
  <r>
    <d v="2025-04-01T00:00:00"/>
    <s v="Tablet "/>
    <x v="0"/>
    <n v="54307"/>
    <n v="9287"/>
  </r>
  <r>
    <d v="2025-04-02T00:00:00"/>
    <s v="Monitor "/>
    <x v="1"/>
    <n v="58502"/>
    <n v="7286"/>
  </r>
  <r>
    <d v="2025-04-03T00:00:00"/>
    <s v="Laptop "/>
    <x v="2"/>
    <n v="14033"/>
    <n v="2517"/>
  </r>
  <r>
    <d v="2025-04-04T00:00:00"/>
    <s v="Keyboard "/>
    <x v="3"/>
    <n v="16893"/>
    <n v="8148"/>
  </r>
  <r>
    <d v="2025-04-05T00:00:00"/>
    <s v="Phone"/>
    <x v="0"/>
    <n v="26109"/>
    <n v="9751"/>
  </r>
  <r>
    <d v="2025-04-06T00:00:00"/>
    <s v="Tablet "/>
    <x v="1"/>
    <n v="22588"/>
    <n v="9448"/>
  </r>
  <r>
    <d v="2025-04-07T00:00:00"/>
    <s v="Monitor "/>
    <x v="2"/>
    <n v="42166"/>
    <n v="3248"/>
  </r>
  <r>
    <d v="2025-04-08T00:00:00"/>
    <s v="Laptop "/>
    <x v="3"/>
    <n v="34347"/>
    <n v="5899"/>
  </r>
  <r>
    <d v="2025-04-09T00:00:00"/>
    <s v="Keyboard "/>
    <x v="0"/>
    <n v="43411"/>
    <n v="8635"/>
  </r>
  <r>
    <d v="2025-04-10T00:00:00"/>
    <s v="Phone"/>
    <x v="1"/>
    <n v="46198"/>
    <n v="50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66868C-5E5F-45A2-992A-4E105FDE205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8" firstHeaderRow="0" firstDataRow="1" firstDataCol="1"/>
  <pivotFields count="5">
    <pivotField numFmtId="14" showAll="0"/>
    <pivotField showAll="0"/>
    <pivotField axis="axisRow" showAll="0">
      <items count="9">
        <item h="1" x="7"/>
        <item x="2"/>
        <item x="0"/>
        <item h="1" x="4"/>
        <item x="1"/>
        <item h="1" x="5"/>
        <item x="3"/>
        <item h="1" x="6"/>
        <item t="default"/>
      </items>
    </pivotField>
    <pivotField dataField="1" showAll="0"/>
    <pivotField dataField="1" showAll="0"/>
  </pivotFields>
  <rowFields count="1">
    <field x="2"/>
  </rowFields>
  <rowItems count="5">
    <i>
      <x v="1"/>
    </i>
    <i>
      <x v="2"/>
    </i>
    <i>
      <x v="4"/>
    </i>
    <i>
      <x v="6"/>
    </i>
    <i t="grand">
      <x/>
    </i>
  </rowItems>
  <colFields count="1">
    <field x="-2"/>
  </colFields>
  <colItems count="2">
    <i>
      <x/>
    </i>
    <i i="1">
      <x v="1"/>
    </i>
  </colItems>
  <dataFields count="2">
    <dataField name="Total Sales" fld="3" baseField="2" baseItem="4"/>
    <dataField name="Total Profit" fld="4" baseField="2" baseItem="4"/>
  </dataFields>
  <chartFormats count="2">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BF72C7-33E4-4B5C-AFCA-8D69F08243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C8" firstHeaderRow="0" firstDataRow="1" firstDataCol="1" rowPageCount="1" colPageCount="1"/>
  <pivotFields count="5">
    <pivotField numFmtId="14" showAll="0"/>
    <pivotField axis="axisPage" multipleItemSelectionAllowed="1" showAll="0">
      <items count="4">
        <item x="0"/>
        <item x="1"/>
        <item x="2"/>
        <item t="default"/>
      </items>
    </pivotField>
    <pivotField axis="axisRow" showAll="0">
      <items count="5">
        <item x="2"/>
        <item x="1"/>
        <item x="0"/>
        <item x="3"/>
        <item t="default"/>
      </items>
    </pivotField>
    <pivotField dataField="1" showAll="0"/>
    <pivotField dataField="1" showAll="0"/>
  </pivotFields>
  <rowFields count="1">
    <field x="2"/>
  </rowFields>
  <rowItems count="5">
    <i>
      <x/>
    </i>
    <i>
      <x v="1"/>
    </i>
    <i>
      <x v="2"/>
    </i>
    <i>
      <x v="3"/>
    </i>
    <i t="grand">
      <x/>
    </i>
  </rowItems>
  <colFields count="1">
    <field x="-2"/>
  </colFields>
  <colItems count="2">
    <i>
      <x/>
    </i>
    <i i="1">
      <x v="1"/>
    </i>
  </colItems>
  <pageFields count="1">
    <pageField fld="1" hier="-1"/>
  </pageFields>
  <dataFields count="2">
    <dataField name="Sum of Sales" fld="3" baseField="0" baseItem="0"/>
    <dataField name="Sum of Profit" fld="4" baseField="0" baseItem="0"/>
  </dataFields>
  <chartFormats count="16">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pivotArea type="data" outline="0" fieldPosition="0">
        <references count="2">
          <reference field="4294967294" count="1" selected="0">
            <x v="0"/>
          </reference>
          <reference field="2" count="1" selected="0">
            <x v="0"/>
          </reference>
        </references>
      </pivotArea>
    </chartFormat>
    <chartFormat chart="30" format="3">
      <pivotArea type="data" outline="0" fieldPosition="0">
        <references count="2">
          <reference field="4294967294" count="1" selected="0">
            <x v="0"/>
          </reference>
          <reference field="2" count="1" selected="0">
            <x v="1"/>
          </reference>
        </references>
      </pivotArea>
    </chartFormat>
    <chartFormat chart="30" format="4">
      <pivotArea type="data" outline="0" fieldPosition="0">
        <references count="2">
          <reference field="4294967294" count="1" selected="0">
            <x v="0"/>
          </reference>
          <reference field="2" count="1" selected="0">
            <x v="2"/>
          </reference>
        </references>
      </pivotArea>
    </chartFormat>
    <chartFormat chart="30" format="5">
      <pivotArea type="data" outline="0" fieldPosition="0">
        <references count="2">
          <reference field="4294967294" count="1" selected="0">
            <x v="0"/>
          </reference>
          <reference field="2" count="1" selected="0">
            <x v="3"/>
          </reference>
        </references>
      </pivotArea>
    </chartFormat>
    <chartFormat chart="30" format="6">
      <pivotArea type="data" outline="0" fieldPosition="0">
        <references count="2">
          <reference field="4294967294" count="1" selected="0">
            <x v="1"/>
          </reference>
          <reference field="2" count="1" selected="0">
            <x v="0"/>
          </reference>
        </references>
      </pivotArea>
    </chartFormat>
    <chartFormat chart="30" format="7">
      <pivotArea type="data" outline="0" fieldPosition="0">
        <references count="2">
          <reference field="4294967294" count="1" selected="0">
            <x v="1"/>
          </reference>
          <reference field="2" count="1" selected="0">
            <x v="1"/>
          </reference>
        </references>
      </pivotArea>
    </chartFormat>
    <chartFormat chart="30" format="8">
      <pivotArea type="data" outline="0" fieldPosition="0">
        <references count="2">
          <reference field="4294967294" count="1" selected="0">
            <x v="1"/>
          </reference>
          <reference field="2" count="1" selected="0">
            <x v="2"/>
          </reference>
        </references>
      </pivotArea>
    </chartFormat>
    <chartFormat chart="30" format="9">
      <pivotArea type="data" outline="0" fieldPosition="0">
        <references count="2">
          <reference field="4294967294" count="1" selected="0">
            <x v="1"/>
          </reference>
          <reference field="2" count="1" selected="0">
            <x v="3"/>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45BCFDB-515B-4F2B-A1F8-4AB5B0C8564F}" sourceName="Product">
  <pivotTables>
    <pivotTable tabId="4" name="PivotTable1"/>
  </pivotTables>
  <data>
    <tabular pivotCacheId="5351443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F61DF7-20B0-484A-8EB1-61F52185B4C4}" sourceName="Region">
  <pivotTables>
    <pivotTable tabId="4" name="PivotTable1"/>
  </pivotTables>
  <data>
    <tabular pivotCacheId="5351443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1736E0F-1C50-482D-908D-D0A973388D7A}" cache="Slicer_Product" caption="Product" rowHeight="234950"/>
  <slicer name="Region" xr10:uid="{28E111AC-45CD-4E61-9AC0-A0297FE6A9D1}"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5ACE7A-25AA-4891-A959-06ABBA455001}" name="Table1" displayName="Table1" ref="A1:E101" totalsRowShown="0">
  <autoFilter ref="A1:E101" xr:uid="{8B5ACE7A-25AA-4891-A959-06ABBA455001}"/>
  <tableColumns count="5">
    <tableColumn id="1" xr3:uid="{06B3D550-0B13-48D8-A05F-AF65A1571766}" name="Date" dataDxfId="0"/>
    <tableColumn id="2" xr3:uid="{EA2A7FCB-2278-4CA8-9BC8-9EB91005298A}" name="Product"/>
    <tableColumn id="3" xr3:uid="{513438B2-FF9D-4F37-8894-E83154BF807E}" name="Region"/>
    <tableColumn id="4" xr3:uid="{DBA4B973-3C93-4215-8AF6-5813755FB8F0}" name="Sales"/>
    <tableColumn id="5" xr3:uid="{A78725CF-ED12-4917-94CF-C7609FD3E533}"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4EE865-4DF5-4419-8E62-0533A9B2A9A8}" name="Table2" displayName="Table2" ref="A1:E31" totalsRowShown="0">
  <autoFilter ref="A1:E31" xr:uid="{414EE865-4DF5-4419-8E62-0533A9B2A9A8}"/>
  <tableColumns count="5">
    <tableColumn id="1" xr3:uid="{A7FD41AC-1831-4B6B-86BE-51F33CB74787}" name="Date" dataDxfId="1"/>
    <tableColumn id="2" xr3:uid="{827E3F63-16D0-404F-B5C6-E6AF4151E5F2}" name="Product"/>
    <tableColumn id="3" xr3:uid="{7804DD78-4D75-4587-86A2-03C452091C53}" name="Region"/>
    <tableColumn id="4" xr3:uid="{9ECCA755-5F9D-491F-A04A-640D1C9E0402}" name="Sales"/>
    <tableColumn id="5" xr3:uid="{0230AA4D-AB97-4B0C-A08A-791A171CABBA}" name="Profit"/>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F9FB8-FA09-4913-AD86-1ABB351C4B1A}">
  <dimension ref="A1:E20"/>
  <sheetViews>
    <sheetView workbookViewId="0">
      <selection activeCell="B2" sqref="B2"/>
    </sheetView>
  </sheetViews>
  <sheetFormatPr defaultRowHeight="14.4" x14ac:dyDescent="0.3"/>
  <cols>
    <col min="1" max="1" width="11.44140625" customWidth="1"/>
  </cols>
  <sheetData>
    <row r="1" spans="1:5" x14ac:dyDescent="0.3">
      <c r="A1" t="s">
        <v>0</v>
      </c>
      <c r="B1" t="s">
        <v>1</v>
      </c>
      <c r="C1" t="s">
        <v>2</v>
      </c>
      <c r="D1" t="s">
        <v>3</v>
      </c>
      <c r="E1" t="s">
        <v>4</v>
      </c>
    </row>
    <row r="2" spans="1:5" x14ac:dyDescent="0.3">
      <c r="A2" s="1">
        <v>45292</v>
      </c>
      <c r="B2" t="s">
        <v>5</v>
      </c>
    </row>
    <row r="3" spans="1:5" x14ac:dyDescent="0.3">
      <c r="A3" s="1">
        <v>45293</v>
      </c>
    </row>
    <row r="4" spans="1:5" x14ac:dyDescent="0.3">
      <c r="A4" s="1">
        <v>45294</v>
      </c>
    </row>
    <row r="5" spans="1:5" x14ac:dyDescent="0.3">
      <c r="A5" s="1">
        <v>45295</v>
      </c>
    </row>
    <row r="6" spans="1:5" x14ac:dyDescent="0.3">
      <c r="A6" s="1">
        <v>45296</v>
      </c>
    </row>
    <row r="7" spans="1:5" x14ac:dyDescent="0.3">
      <c r="A7" s="1">
        <v>45297</v>
      </c>
    </row>
    <row r="8" spans="1:5" x14ac:dyDescent="0.3">
      <c r="A8" s="1">
        <v>45298</v>
      </c>
    </row>
    <row r="9" spans="1:5" x14ac:dyDescent="0.3">
      <c r="A9" s="1">
        <v>45299</v>
      </c>
    </row>
    <row r="10" spans="1:5" x14ac:dyDescent="0.3">
      <c r="A10" s="1">
        <v>45300</v>
      </c>
    </row>
    <row r="11" spans="1:5" x14ac:dyDescent="0.3">
      <c r="A11" s="1">
        <v>45301</v>
      </c>
    </row>
    <row r="12" spans="1:5" x14ac:dyDescent="0.3">
      <c r="A12" s="1">
        <v>45302</v>
      </c>
    </row>
    <row r="13" spans="1:5" x14ac:dyDescent="0.3">
      <c r="A13" s="1">
        <v>45303</v>
      </c>
    </row>
    <row r="14" spans="1:5" x14ac:dyDescent="0.3">
      <c r="A14" s="1">
        <v>45304</v>
      </c>
    </row>
    <row r="15" spans="1:5" x14ac:dyDescent="0.3">
      <c r="A15" s="1">
        <v>45305</v>
      </c>
    </row>
    <row r="16" spans="1:5" x14ac:dyDescent="0.3">
      <c r="A16" s="1">
        <v>45306</v>
      </c>
    </row>
    <row r="17" spans="1:1" x14ac:dyDescent="0.3">
      <c r="A17" s="1">
        <v>45307</v>
      </c>
    </row>
    <row r="18" spans="1:1" x14ac:dyDescent="0.3">
      <c r="A18" s="1">
        <v>45308</v>
      </c>
    </row>
    <row r="19" spans="1:1" x14ac:dyDescent="0.3">
      <c r="A19" s="1">
        <v>45309</v>
      </c>
    </row>
    <row r="20" spans="1:1" x14ac:dyDescent="0.3">
      <c r="A20" s="1">
        <v>45310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5541A-EFD5-4A0A-9B34-DDF14101B26D}">
  <dimension ref="A1:E11"/>
  <sheetViews>
    <sheetView workbookViewId="0">
      <selection activeCell="B1" sqref="B1"/>
    </sheetView>
  </sheetViews>
  <sheetFormatPr defaultRowHeight="14.4" x14ac:dyDescent="0.3"/>
  <cols>
    <col min="1" max="1" width="11.109375" customWidth="1"/>
  </cols>
  <sheetData>
    <row r="1" spans="1:5" x14ac:dyDescent="0.3">
      <c r="B1" t="s">
        <v>1</v>
      </c>
      <c r="C1" t="s">
        <v>2</v>
      </c>
      <c r="D1" t="s">
        <v>3</v>
      </c>
      <c r="E1" t="s">
        <v>4</v>
      </c>
    </row>
    <row r="2" spans="1:5" x14ac:dyDescent="0.3">
      <c r="A2" s="1">
        <v>46023</v>
      </c>
      <c r="B2" t="s">
        <v>5</v>
      </c>
      <c r="C2" t="s">
        <v>6</v>
      </c>
      <c r="D2">
        <v>50000</v>
      </c>
      <c r="E2">
        <v>8000</v>
      </c>
    </row>
    <row r="3" spans="1:5" x14ac:dyDescent="0.3">
      <c r="A3" s="1">
        <v>46024</v>
      </c>
      <c r="B3" t="s">
        <v>7</v>
      </c>
      <c r="C3" t="s">
        <v>8</v>
      </c>
      <c r="D3">
        <v>20000</v>
      </c>
      <c r="E3">
        <v>3000</v>
      </c>
    </row>
    <row r="4" spans="1:5" x14ac:dyDescent="0.3">
      <c r="A4" s="1">
        <v>46025</v>
      </c>
      <c r="B4" t="s">
        <v>9</v>
      </c>
      <c r="C4" t="s">
        <v>10</v>
      </c>
      <c r="D4">
        <v>15000</v>
      </c>
      <c r="E4">
        <v>2000</v>
      </c>
    </row>
    <row r="5" spans="1:5" x14ac:dyDescent="0.3">
      <c r="A5" s="1">
        <v>46026</v>
      </c>
      <c r="B5" t="s">
        <v>5</v>
      </c>
      <c r="C5" t="s">
        <v>11</v>
      </c>
      <c r="D5">
        <v>45000</v>
      </c>
      <c r="E5">
        <v>7000</v>
      </c>
    </row>
    <row r="6" spans="1:5" x14ac:dyDescent="0.3">
      <c r="A6" s="1">
        <v>46027</v>
      </c>
      <c r="B6" t="s">
        <v>7</v>
      </c>
      <c r="C6" t="s">
        <v>6</v>
      </c>
      <c r="D6">
        <v>22000</v>
      </c>
      <c r="E6">
        <v>3500</v>
      </c>
    </row>
    <row r="7" spans="1:5" x14ac:dyDescent="0.3">
      <c r="A7" s="1">
        <v>46028</v>
      </c>
      <c r="B7" t="s">
        <v>9</v>
      </c>
      <c r="C7" t="s">
        <v>8</v>
      </c>
      <c r="D7">
        <v>18000</v>
      </c>
      <c r="E7">
        <v>2500</v>
      </c>
    </row>
    <row r="8" spans="1:5" x14ac:dyDescent="0.3">
      <c r="A8" s="1">
        <v>46029</v>
      </c>
      <c r="B8" t="s">
        <v>5</v>
      </c>
      <c r="C8" t="s">
        <v>10</v>
      </c>
      <c r="D8">
        <v>52000</v>
      </c>
      <c r="E8">
        <v>9000</v>
      </c>
    </row>
    <row r="9" spans="1:5" x14ac:dyDescent="0.3">
      <c r="A9" s="1">
        <v>46030</v>
      </c>
      <c r="B9" t="s">
        <v>7</v>
      </c>
      <c r="C9" t="s">
        <v>11</v>
      </c>
      <c r="D9">
        <v>25000</v>
      </c>
      <c r="E9">
        <v>4000</v>
      </c>
    </row>
    <row r="10" spans="1:5" x14ac:dyDescent="0.3">
      <c r="A10" s="1">
        <v>46031</v>
      </c>
      <c r="B10" t="s">
        <v>9</v>
      </c>
      <c r="C10" t="s">
        <v>6</v>
      </c>
      <c r="D10">
        <v>16000</v>
      </c>
      <c r="E10">
        <v>2100</v>
      </c>
    </row>
    <row r="11" spans="1:5" x14ac:dyDescent="0.3">
      <c r="A11" s="1">
        <v>46032</v>
      </c>
      <c r="B11" t="s">
        <v>5</v>
      </c>
      <c r="C11" t="s">
        <v>8</v>
      </c>
      <c r="D11">
        <v>48000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9AB0-2F87-45E2-B138-B8384ECD9386}">
  <dimension ref="A3:C8"/>
  <sheetViews>
    <sheetView workbookViewId="0">
      <selection activeCell="A6" sqref="A6"/>
    </sheetView>
  </sheetViews>
  <sheetFormatPr defaultRowHeight="14.4" x14ac:dyDescent="0.3"/>
  <cols>
    <col min="1" max="1" width="12.5546875" bestFit="1" customWidth="1"/>
    <col min="2" max="2" width="9.88671875" bestFit="1" customWidth="1"/>
    <col min="3" max="3" width="10.33203125" bestFit="1" customWidth="1"/>
  </cols>
  <sheetData>
    <row r="3" spans="1:3" x14ac:dyDescent="0.3">
      <c r="A3" s="2" t="s">
        <v>12</v>
      </c>
      <c r="B3" t="s">
        <v>28</v>
      </c>
      <c r="C3" t="s">
        <v>29</v>
      </c>
    </row>
    <row r="4" spans="1:3" x14ac:dyDescent="0.3">
      <c r="A4" s="3" t="s">
        <v>10</v>
      </c>
      <c r="B4">
        <v>883328</v>
      </c>
      <c r="C4">
        <v>134208</v>
      </c>
    </row>
    <row r="5" spans="1:3" x14ac:dyDescent="0.3">
      <c r="A5" s="3" t="s">
        <v>8</v>
      </c>
      <c r="B5">
        <v>702578</v>
      </c>
      <c r="C5">
        <v>122039</v>
      </c>
    </row>
    <row r="6" spans="1:3" x14ac:dyDescent="0.3">
      <c r="A6" s="3" t="s">
        <v>6</v>
      </c>
      <c r="B6">
        <v>387111</v>
      </c>
      <c r="C6">
        <v>61720</v>
      </c>
    </row>
    <row r="7" spans="1:3" x14ac:dyDescent="0.3">
      <c r="A7" s="3" t="s">
        <v>11</v>
      </c>
      <c r="B7">
        <v>458122</v>
      </c>
      <c r="C7">
        <v>76608</v>
      </c>
    </row>
    <row r="8" spans="1:3" x14ac:dyDescent="0.3">
      <c r="A8" s="3" t="s">
        <v>13</v>
      </c>
      <c r="B8">
        <v>2431139</v>
      </c>
      <c r="C8">
        <v>394575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B973-365E-4951-912B-6841F401BB08}">
  <dimension ref="A1:L124"/>
  <sheetViews>
    <sheetView workbookViewId="0">
      <selection activeCell="H24" sqref="H24:L124"/>
    </sheetView>
  </sheetViews>
  <sheetFormatPr defaultRowHeight="14.4" x14ac:dyDescent="0.3"/>
  <cols>
    <col min="1" max="1" width="14.33203125" customWidth="1"/>
    <col min="2" max="3" width="10.77734375" customWidth="1"/>
    <col min="4" max="4" width="12.44140625" customWidth="1"/>
  </cols>
  <sheetData>
    <row r="1" spans="1:5" x14ac:dyDescent="0.3">
      <c r="A1" t="s">
        <v>0</v>
      </c>
      <c r="B1" t="s">
        <v>1</v>
      </c>
      <c r="C1" t="s">
        <v>2</v>
      </c>
      <c r="D1" t="s">
        <v>3</v>
      </c>
      <c r="E1" t="s">
        <v>4</v>
      </c>
    </row>
    <row r="2" spans="1:5" x14ac:dyDescent="0.3">
      <c r="A2" s="1">
        <v>45658</v>
      </c>
      <c r="B2" t="s">
        <v>5</v>
      </c>
      <c r="C2" t="s">
        <v>8</v>
      </c>
      <c r="D2">
        <v>49726</v>
      </c>
      <c r="E2">
        <v>8748</v>
      </c>
    </row>
    <row r="3" spans="1:5" x14ac:dyDescent="0.3">
      <c r="A3" s="1">
        <v>45659</v>
      </c>
      <c r="B3" t="s">
        <v>16</v>
      </c>
      <c r="C3" t="s">
        <v>6</v>
      </c>
      <c r="D3">
        <v>28657</v>
      </c>
      <c r="E3">
        <v>5565</v>
      </c>
    </row>
    <row r="4" spans="1:5" x14ac:dyDescent="0.3">
      <c r="A4" s="1">
        <v>45660</v>
      </c>
      <c r="B4" t="s">
        <v>9</v>
      </c>
      <c r="C4" t="s">
        <v>10</v>
      </c>
      <c r="D4">
        <v>15118</v>
      </c>
      <c r="E4">
        <v>3709</v>
      </c>
    </row>
    <row r="5" spans="1:5" x14ac:dyDescent="0.3">
      <c r="A5" s="1">
        <v>45661</v>
      </c>
      <c r="B5" t="s">
        <v>17</v>
      </c>
      <c r="C5" t="s">
        <v>11</v>
      </c>
      <c r="D5">
        <v>43129</v>
      </c>
      <c r="E5">
        <v>5437</v>
      </c>
    </row>
    <row r="6" spans="1:5" x14ac:dyDescent="0.3">
      <c r="A6" s="1">
        <v>45662</v>
      </c>
      <c r="B6" t="s">
        <v>18</v>
      </c>
      <c r="C6" t="s">
        <v>8</v>
      </c>
      <c r="D6">
        <v>40998</v>
      </c>
      <c r="E6">
        <v>9330</v>
      </c>
    </row>
    <row r="7" spans="1:5" x14ac:dyDescent="0.3">
      <c r="A7" s="1">
        <v>45663</v>
      </c>
      <c r="B7" t="s">
        <v>5</v>
      </c>
      <c r="C7" t="s">
        <v>6</v>
      </c>
      <c r="D7">
        <v>49554</v>
      </c>
      <c r="E7">
        <v>7509</v>
      </c>
    </row>
    <row r="8" spans="1:5" x14ac:dyDescent="0.3">
      <c r="A8" s="1">
        <v>45664</v>
      </c>
      <c r="B8" t="s">
        <v>16</v>
      </c>
      <c r="C8" t="s">
        <v>10</v>
      </c>
      <c r="D8">
        <v>50872</v>
      </c>
      <c r="E8">
        <v>4107</v>
      </c>
    </row>
    <row r="9" spans="1:5" x14ac:dyDescent="0.3">
      <c r="A9" s="1">
        <v>45665</v>
      </c>
      <c r="B9" t="s">
        <v>9</v>
      </c>
      <c r="C9" t="s">
        <v>11</v>
      </c>
      <c r="D9">
        <v>53104</v>
      </c>
      <c r="E9">
        <v>6934</v>
      </c>
    </row>
    <row r="10" spans="1:5" x14ac:dyDescent="0.3">
      <c r="A10" s="1">
        <v>45666</v>
      </c>
      <c r="B10" t="s">
        <v>17</v>
      </c>
      <c r="C10" t="s">
        <v>8</v>
      </c>
      <c r="D10">
        <v>30978</v>
      </c>
      <c r="E10">
        <v>2446</v>
      </c>
    </row>
    <row r="11" spans="1:5" x14ac:dyDescent="0.3">
      <c r="A11" s="1">
        <v>45667</v>
      </c>
      <c r="B11" t="s">
        <v>18</v>
      </c>
      <c r="C11" t="s">
        <v>6</v>
      </c>
      <c r="D11">
        <v>30823</v>
      </c>
      <c r="E11">
        <v>3343</v>
      </c>
    </row>
    <row r="12" spans="1:5" x14ac:dyDescent="0.3">
      <c r="A12" s="1">
        <v>45668</v>
      </c>
      <c r="B12" t="s">
        <v>5</v>
      </c>
      <c r="C12" t="s">
        <v>10</v>
      </c>
      <c r="D12">
        <v>10199</v>
      </c>
      <c r="E12">
        <v>3670</v>
      </c>
    </row>
    <row r="13" spans="1:5" x14ac:dyDescent="0.3">
      <c r="A13" s="1">
        <v>45669</v>
      </c>
      <c r="B13" t="s">
        <v>16</v>
      </c>
      <c r="C13" t="s">
        <v>11</v>
      </c>
      <c r="D13">
        <v>10444</v>
      </c>
      <c r="E13">
        <v>2064</v>
      </c>
    </row>
    <row r="14" spans="1:5" x14ac:dyDescent="0.3">
      <c r="A14" s="1">
        <v>45670</v>
      </c>
      <c r="B14" t="s">
        <v>9</v>
      </c>
      <c r="C14" t="s">
        <v>10</v>
      </c>
      <c r="D14">
        <v>11135</v>
      </c>
      <c r="E14">
        <v>9832</v>
      </c>
    </row>
    <row r="15" spans="1:5" x14ac:dyDescent="0.3">
      <c r="A15" s="1">
        <v>45671</v>
      </c>
      <c r="B15" t="s">
        <v>17</v>
      </c>
      <c r="C15" t="s">
        <v>11</v>
      </c>
      <c r="D15">
        <v>30131</v>
      </c>
      <c r="E15">
        <v>7200</v>
      </c>
    </row>
    <row r="16" spans="1:5" x14ac:dyDescent="0.3">
      <c r="A16" s="1">
        <v>45672</v>
      </c>
      <c r="B16" t="s">
        <v>18</v>
      </c>
      <c r="C16" t="s">
        <v>24</v>
      </c>
      <c r="D16">
        <v>11878</v>
      </c>
      <c r="E16">
        <v>3103</v>
      </c>
    </row>
    <row r="17" spans="1:12" x14ac:dyDescent="0.3">
      <c r="A17" s="1">
        <v>45673</v>
      </c>
      <c r="B17" t="s">
        <v>5</v>
      </c>
      <c r="C17" t="s">
        <v>6</v>
      </c>
      <c r="D17">
        <v>36614</v>
      </c>
      <c r="E17">
        <v>4570</v>
      </c>
    </row>
    <row r="18" spans="1:12" x14ac:dyDescent="0.3">
      <c r="A18" s="1">
        <v>45674</v>
      </c>
      <c r="B18" t="s">
        <v>16</v>
      </c>
      <c r="C18" t="s">
        <v>10</v>
      </c>
      <c r="D18">
        <v>59362</v>
      </c>
      <c r="E18">
        <v>8930</v>
      </c>
    </row>
    <row r="19" spans="1:12" x14ac:dyDescent="0.3">
      <c r="A19" s="1">
        <v>45675</v>
      </c>
      <c r="B19" t="s">
        <v>9</v>
      </c>
      <c r="C19" t="s">
        <v>11</v>
      </c>
      <c r="D19">
        <v>49046</v>
      </c>
      <c r="E19">
        <v>9924</v>
      </c>
    </row>
    <row r="20" spans="1:12" x14ac:dyDescent="0.3">
      <c r="A20" s="1">
        <v>45676</v>
      </c>
      <c r="B20" t="s">
        <v>17</v>
      </c>
      <c r="C20" t="s">
        <v>24</v>
      </c>
      <c r="D20">
        <v>27589</v>
      </c>
      <c r="E20">
        <v>6385</v>
      </c>
    </row>
    <row r="21" spans="1:12" x14ac:dyDescent="0.3">
      <c r="A21" s="1">
        <v>45677</v>
      </c>
      <c r="B21" t="s">
        <v>18</v>
      </c>
      <c r="C21" t="s">
        <v>6</v>
      </c>
      <c r="D21">
        <v>13557</v>
      </c>
      <c r="E21">
        <v>3414</v>
      </c>
    </row>
    <row r="22" spans="1:12" x14ac:dyDescent="0.3">
      <c r="A22" s="1">
        <v>45678</v>
      </c>
      <c r="B22" t="s">
        <v>5</v>
      </c>
      <c r="C22" t="s">
        <v>10</v>
      </c>
      <c r="D22">
        <v>40196</v>
      </c>
      <c r="E22">
        <v>2273</v>
      </c>
    </row>
    <row r="23" spans="1:12" x14ac:dyDescent="0.3">
      <c r="A23" s="1">
        <v>45679</v>
      </c>
      <c r="B23" t="s">
        <v>16</v>
      </c>
      <c r="C23" t="s">
        <v>11</v>
      </c>
      <c r="D23">
        <v>27888</v>
      </c>
      <c r="E23">
        <v>6733</v>
      </c>
    </row>
    <row r="24" spans="1:12" x14ac:dyDescent="0.3">
      <c r="A24" s="1">
        <v>45680</v>
      </c>
      <c r="B24" t="s">
        <v>9</v>
      </c>
      <c r="C24" t="s">
        <v>24</v>
      </c>
      <c r="D24">
        <v>57957</v>
      </c>
      <c r="E24">
        <v>4926</v>
      </c>
      <c r="H24" t="str">
        <f>L24</f>
        <v>Profit</v>
      </c>
      <c r="I24" t="s">
        <v>1</v>
      </c>
      <c r="J24" t="s">
        <v>2</v>
      </c>
      <c r="K24" t="s">
        <v>3</v>
      </c>
      <c r="L24" t="s">
        <v>4</v>
      </c>
    </row>
    <row r="25" spans="1:12" x14ac:dyDescent="0.3">
      <c r="A25" s="1">
        <v>45681</v>
      </c>
      <c r="B25" t="s">
        <v>17</v>
      </c>
      <c r="C25" t="s">
        <v>6</v>
      </c>
      <c r="D25">
        <v>48548</v>
      </c>
      <c r="E25">
        <v>5999</v>
      </c>
      <c r="H25" s="1">
        <v>45658</v>
      </c>
      <c r="I25" t="s">
        <v>5</v>
      </c>
      <c r="J25" t="s">
        <v>8</v>
      </c>
      <c r="K25">
        <v>49726</v>
      </c>
      <c r="L25">
        <v>8748</v>
      </c>
    </row>
    <row r="26" spans="1:12" x14ac:dyDescent="0.3">
      <c r="A26" s="1">
        <v>45682</v>
      </c>
      <c r="B26" t="s">
        <v>18</v>
      </c>
      <c r="C26" t="s">
        <v>27</v>
      </c>
      <c r="D26">
        <v>59600</v>
      </c>
      <c r="E26">
        <v>2914</v>
      </c>
      <c r="H26" s="1">
        <v>45659</v>
      </c>
      <c r="I26" t="s">
        <v>16</v>
      </c>
      <c r="J26" t="s">
        <v>6</v>
      </c>
      <c r="K26">
        <v>28657</v>
      </c>
      <c r="L26">
        <v>5565</v>
      </c>
    </row>
    <row r="27" spans="1:12" x14ac:dyDescent="0.3">
      <c r="A27" s="1">
        <v>45683</v>
      </c>
      <c r="B27" t="s">
        <v>5</v>
      </c>
      <c r="C27" t="s">
        <v>10</v>
      </c>
      <c r="D27">
        <v>37434</v>
      </c>
      <c r="E27">
        <v>8881</v>
      </c>
      <c r="H27" s="1">
        <v>45660</v>
      </c>
      <c r="I27" t="s">
        <v>9</v>
      </c>
      <c r="J27" t="s">
        <v>10</v>
      </c>
      <c r="K27">
        <v>15118</v>
      </c>
      <c r="L27">
        <v>3709</v>
      </c>
    </row>
    <row r="28" spans="1:12" x14ac:dyDescent="0.3">
      <c r="A28" s="1">
        <v>45684</v>
      </c>
      <c r="B28" t="s">
        <v>16</v>
      </c>
      <c r="C28" t="s">
        <v>26</v>
      </c>
      <c r="D28">
        <v>45668</v>
      </c>
      <c r="E28">
        <v>6444</v>
      </c>
      <c r="H28" s="1">
        <v>45661</v>
      </c>
      <c r="I28" t="s">
        <v>17</v>
      </c>
      <c r="J28" t="s">
        <v>11</v>
      </c>
      <c r="K28">
        <v>43129</v>
      </c>
      <c r="L28">
        <v>5437</v>
      </c>
    </row>
    <row r="29" spans="1:12" x14ac:dyDescent="0.3">
      <c r="A29" s="1">
        <v>45685</v>
      </c>
      <c r="B29" t="s">
        <v>9</v>
      </c>
      <c r="C29" t="s">
        <v>8</v>
      </c>
      <c r="D29">
        <v>42149</v>
      </c>
      <c r="E29">
        <v>6656</v>
      </c>
      <c r="H29" s="1">
        <v>45662</v>
      </c>
      <c r="I29" t="s">
        <v>18</v>
      </c>
      <c r="J29" t="s">
        <v>8</v>
      </c>
      <c r="K29">
        <v>40998</v>
      </c>
      <c r="L29">
        <v>9330</v>
      </c>
    </row>
    <row r="30" spans="1:12" x14ac:dyDescent="0.3">
      <c r="A30" s="1">
        <v>45686</v>
      </c>
      <c r="B30" t="s">
        <v>17</v>
      </c>
      <c r="C30" t="s">
        <v>27</v>
      </c>
      <c r="D30">
        <v>55878</v>
      </c>
      <c r="E30">
        <v>2272</v>
      </c>
      <c r="H30" s="1">
        <v>45663</v>
      </c>
      <c r="I30" t="s">
        <v>5</v>
      </c>
      <c r="J30" t="s">
        <v>6</v>
      </c>
      <c r="K30">
        <v>49554</v>
      </c>
      <c r="L30">
        <v>7509</v>
      </c>
    </row>
    <row r="31" spans="1:12" x14ac:dyDescent="0.3">
      <c r="A31" s="1">
        <v>45687</v>
      </c>
      <c r="B31" t="s">
        <v>18</v>
      </c>
      <c r="C31" t="s">
        <v>10</v>
      </c>
      <c r="D31">
        <v>49574</v>
      </c>
      <c r="E31">
        <v>7514</v>
      </c>
      <c r="H31" s="1">
        <v>45664</v>
      </c>
      <c r="I31" t="s">
        <v>16</v>
      </c>
      <c r="J31" t="s">
        <v>10</v>
      </c>
      <c r="K31">
        <v>50872</v>
      </c>
      <c r="L31">
        <v>4107</v>
      </c>
    </row>
    <row r="32" spans="1:12" x14ac:dyDescent="0.3">
      <c r="A32" s="1">
        <v>45688</v>
      </c>
      <c r="B32" t="s">
        <v>5</v>
      </c>
      <c r="C32" t="s">
        <v>26</v>
      </c>
      <c r="D32">
        <v>54994</v>
      </c>
      <c r="E32">
        <v>4828</v>
      </c>
      <c r="H32" s="1">
        <v>45665</v>
      </c>
      <c r="I32" t="s">
        <v>9</v>
      </c>
      <c r="J32" t="s">
        <v>11</v>
      </c>
      <c r="K32">
        <v>53104</v>
      </c>
      <c r="L32">
        <v>6934</v>
      </c>
    </row>
    <row r="33" spans="1:12" x14ac:dyDescent="0.3">
      <c r="A33" s="1">
        <v>45689</v>
      </c>
      <c r="B33" t="s">
        <v>16</v>
      </c>
      <c r="C33" t="s">
        <v>8</v>
      </c>
      <c r="D33">
        <v>28669</v>
      </c>
      <c r="E33">
        <v>2396</v>
      </c>
      <c r="H33" s="1">
        <v>45666</v>
      </c>
      <c r="I33" t="s">
        <v>17</v>
      </c>
      <c r="J33" t="s">
        <v>8</v>
      </c>
      <c r="K33">
        <v>30978</v>
      </c>
      <c r="L33">
        <v>2446</v>
      </c>
    </row>
    <row r="34" spans="1:12" x14ac:dyDescent="0.3">
      <c r="A34" s="1">
        <v>45690</v>
      </c>
      <c r="B34" t="s">
        <v>9</v>
      </c>
      <c r="C34" t="s">
        <v>27</v>
      </c>
      <c r="D34">
        <v>56985</v>
      </c>
      <c r="E34">
        <v>4648</v>
      </c>
      <c r="H34" s="1">
        <v>45667</v>
      </c>
      <c r="I34" t="s">
        <v>18</v>
      </c>
      <c r="J34" t="s">
        <v>6</v>
      </c>
      <c r="K34">
        <v>30823</v>
      </c>
      <c r="L34">
        <v>3343</v>
      </c>
    </row>
    <row r="35" spans="1:12" x14ac:dyDescent="0.3">
      <c r="A35" s="1">
        <v>45691</v>
      </c>
      <c r="B35" t="s">
        <v>17</v>
      </c>
      <c r="C35" t="s">
        <v>10</v>
      </c>
      <c r="D35">
        <v>54260</v>
      </c>
      <c r="E35">
        <v>6600</v>
      </c>
      <c r="H35" s="1">
        <v>45668</v>
      </c>
      <c r="I35" t="s">
        <v>5</v>
      </c>
      <c r="J35" t="s">
        <v>10</v>
      </c>
      <c r="K35">
        <v>10199</v>
      </c>
      <c r="L35">
        <v>3670</v>
      </c>
    </row>
    <row r="36" spans="1:12" x14ac:dyDescent="0.3">
      <c r="A36" s="1">
        <v>45692</v>
      </c>
      <c r="B36" t="s">
        <v>18</v>
      </c>
      <c r="C36" t="s">
        <v>26</v>
      </c>
      <c r="D36">
        <v>58897</v>
      </c>
      <c r="E36">
        <v>6189</v>
      </c>
      <c r="H36" s="1">
        <v>45669</v>
      </c>
      <c r="I36" t="s">
        <v>16</v>
      </c>
      <c r="J36" t="s">
        <v>11</v>
      </c>
      <c r="K36">
        <v>10444</v>
      </c>
      <c r="L36">
        <v>2064</v>
      </c>
    </row>
    <row r="37" spans="1:12" x14ac:dyDescent="0.3">
      <c r="A37" s="1">
        <v>45693</v>
      </c>
      <c r="B37" t="s">
        <v>5</v>
      </c>
      <c r="C37" t="s">
        <v>8</v>
      </c>
      <c r="D37">
        <v>46514</v>
      </c>
      <c r="E37">
        <v>7581</v>
      </c>
      <c r="H37" s="1">
        <v>45670</v>
      </c>
      <c r="I37" t="s">
        <v>9</v>
      </c>
      <c r="J37" t="s">
        <v>10</v>
      </c>
      <c r="K37">
        <v>11135</v>
      </c>
      <c r="L37">
        <v>9832</v>
      </c>
    </row>
    <row r="38" spans="1:12" x14ac:dyDescent="0.3">
      <c r="A38" s="1">
        <v>45694</v>
      </c>
      <c r="B38" t="s">
        <v>16</v>
      </c>
      <c r="C38" t="s">
        <v>27</v>
      </c>
      <c r="D38">
        <v>46526</v>
      </c>
      <c r="E38">
        <v>7062</v>
      </c>
      <c r="H38" s="1">
        <v>45671</v>
      </c>
      <c r="I38" t="s">
        <v>17</v>
      </c>
      <c r="J38" t="s">
        <v>11</v>
      </c>
      <c r="K38">
        <v>30131</v>
      </c>
      <c r="L38">
        <v>7200</v>
      </c>
    </row>
    <row r="39" spans="1:12" x14ac:dyDescent="0.3">
      <c r="A39" s="1">
        <v>45695</v>
      </c>
      <c r="B39" t="s">
        <v>9</v>
      </c>
      <c r="C39" t="s">
        <v>10</v>
      </c>
      <c r="D39">
        <v>17707</v>
      </c>
      <c r="E39">
        <v>3002</v>
      </c>
      <c r="H39" s="1">
        <v>45672</v>
      </c>
      <c r="I39" t="s">
        <v>18</v>
      </c>
      <c r="J39" t="s">
        <v>24</v>
      </c>
      <c r="K39">
        <v>11878</v>
      </c>
      <c r="L39">
        <v>3103</v>
      </c>
    </row>
    <row r="40" spans="1:12" x14ac:dyDescent="0.3">
      <c r="A40" s="1">
        <v>45696</v>
      </c>
      <c r="B40" t="s">
        <v>17</v>
      </c>
      <c r="C40" t="s">
        <v>26</v>
      </c>
      <c r="D40">
        <v>49709</v>
      </c>
      <c r="E40">
        <v>8863</v>
      </c>
      <c r="H40" s="1">
        <v>45673</v>
      </c>
      <c r="I40" t="s">
        <v>5</v>
      </c>
      <c r="J40" t="s">
        <v>6</v>
      </c>
      <c r="K40">
        <v>36614</v>
      </c>
      <c r="L40">
        <v>4570</v>
      </c>
    </row>
    <row r="41" spans="1:12" x14ac:dyDescent="0.3">
      <c r="A41" s="1">
        <v>45697</v>
      </c>
      <c r="B41" t="s">
        <v>18</v>
      </c>
      <c r="C41" t="s">
        <v>8</v>
      </c>
      <c r="D41">
        <v>37864</v>
      </c>
      <c r="E41">
        <v>5577</v>
      </c>
      <c r="H41" s="1">
        <v>45674</v>
      </c>
      <c r="I41" t="s">
        <v>16</v>
      </c>
      <c r="J41" t="s">
        <v>10</v>
      </c>
      <c r="K41">
        <v>59362</v>
      </c>
      <c r="L41">
        <v>8930</v>
      </c>
    </row>
    <row r="42" spans="1:12" x14ac:dyDescent="0.3">
      <c r="A42" s="1">
        <v>45698</v>
      </c>
      <c r="B42" t="s">
        <v>19</v>
      </c>
      <c r="C42" t="s">
        <v>27</v>
      </c>
      <c r="D42">
        <v>18263</v>
      </c>
      <c r="E42">
        <v>8224</v>
      </c>
      <c r="H42" s="1">
        <v>45675</v>
      </c>
      <c r="I42" t="s">
        <v>9</v>
      </c>
      <c r="J42" t="s">
        <v>11</v>
      </c>
      <c r="K42">
        <v>49046</v>
      </c>
      <c r="L42">
        <v>9924</v>
      </c>
    </row>
    <row r="43" spans="1:12" x14ac:dyDescent="0.3">
      <c r="A43" s="1">
        <v>45699</v>
      </c>
      <c r="B43" t="s">
        <v>20</v>
      </c>
      <c r="C43" t="s">
        <v>10</v>
      </c>
      <c r="D43">
        <v>31781</v>
      </c>
      <c r="E43">
        <v>8053</v>
      </c>
      <c r="H43" s="1">
        <v>45676</v>
      </c>
      <c r="I43" t="s">
        <v>17</v>
      </c>
      <c r="J43" t="s">
        <v>24</v>
      </c>
      <c r="K43">
        <v>27589</v>
      </c>
      <c r="L43">
        <v>6385</v>
      </c>
    </row>
    <row r="44" spans="1:12" x14ac:dyDescent="0.3">
      <c r="A44" s="1">
        <v>45700</v>
      </c>
      <c r="B44" t="s">
        <v>21</v>
      </c>
      <c r="C44" t="s">
        <v>26</v>
      </c>
      <c r="D44">
        <v>33160</v>
      </c>
      <c r="E44">
        <v>7910</v>
      </c>
      <c r="H44" s="1">
        <v>45677</v>
      </c>
      <c r="I44" t="s">
        <v>18</v>
      </c>
      <c r="J44" t="s">
        <v>6</v>
      </c>
      <c r="K44">
        <v>13557</v>
      </c>
      <c r="L44">
        <v>3414</v>
      </c>
    </row>
    <row r="45" spans="1:12" x14ac:dyDescent="0.3">
      <c r="A45" s="1">
        <v>45701</v>
      </c>
      <c r="B45" t="s">
        <v>16</v>
      </c>
      <c r="C45" t="s">
        <v>8</v>
      </c>
      <c r="D45">
        <v>48254</v>
      </c>
      <c r="E45">
        <v>3706</v>
      </c>
      <c r="H45" s="1">
        <v>45678</v>
      </c>
      <c r="I45" t="s">
        <v>5</v>
      </c>
      <c r="J45" t="s">
        <v>10</v>
      </c>
      <c r="K45">
        <v>40196</v>
      </c>
      <c r="L45">
        <v>2273</v>
      </c>
    </row>
    <row r="46" spans="1:12" x14ac:dyDescent="0.3">
      <c r="A46" s="1">
        <v>45702</v>
      </c>
      <c r="B46" t="s">
        <v>9</v>
      </c>
      <c r="C46" t="s">
        <v>27</v>
      </c>
      <c r="D46">
        <v>18059</v>
      </c>
      <c r="E46">
        <v>7473</v>
      </c>
      <c r="H46" s="1">
        <v>45679</v>
      </c>
      <c r="I46" t="s">
        <v>16</v>
      </c>
      <c r="J46" t="s">
        <v>11</v>
      </c>
      <c r="K46">
        <v>27888</v>
      </c>
      <c r="L46">
        <v>6733</v>
      </c>
    </row>
    <row r="47" spans="1:12" x14ac:dyDescent="0.3">
      <c r="A47" s="1">
        <v>45703</v>
      </c>
      <c r="B47" t="s">
        <v>19</v>
      </c>
      <c r="C47" t="s">
        <v>10</v>
      </c>
      <c r="D47">
        <v>15888</v>
      </c>
      <c r="E47">
        <v>5884</v>
      </c>
      <c r="H47" s="1">
        <v>45680</v>
      </c>
      <c r="I47" t="s">
        <v>9</v>
      </c>
      <c r="J47" t="s">
        <v>24</v>
      </c>
      <c r="K47">
        <v>57957</v>
      </c>
      <c r="L47">
        <v>4926</v>
      </c>
    </row>
    <row r="48" spans="1:12" x14ac:dyDescent="0.3">
      <c r="A48" s="1">
        <v>45704</v>
      </c>
      <c r="B48" t="s">
        <v>20</v>
      </c>
      <c r="C48" t="s">
        <v>26</v>
      </c>
      <c r="D48">
        <v>16253</v>
      </c>
      <c r="E48">
        <v>2581</v>
      </c>
      <c r="H48" s="1">
        <v>45681</v>
      </c>
      <c r="I48" t="s">
        <v>17</v>
      </c>
      <c r="J48" t="s">
        <v>6</v>
      </c>
      <c r="K48">
        <v>48548</v>
      </c>
      <c r="L48">
        <v>5999</v>
      </c>
    </row>
    <row r="49" spans="1:12" x14ac:dyDescent="0.3">
      <c r="A49" s="1">
        <v>45705</v>
      </c>
      <c r="B49" t="s">
        <v>21</v>
      </c>
      <c r="C49" t="s">
        <v>26</v>
      </c>
      <c r="D49">
        <v>59707</v>
      </c>
      <c r="E49">
        <v>4506</v>
      </c>
      <c r="H49" s="1">
        <v>45682</v>
      </c>
      <c r="I49" t="s">
        <v>18</v>
      </c>
      <c r="J49" t="s">
        <v>27</v>
      </c>
      <c r="K49">
        <v>59600</v>
      </c>
      <c r="L49">
        <v>2914</v>
      </c>
    </row>
    <row r="50" spans="1:12" x14ac:dyDescent="0.3">
      <c r="A50" s="1">
        <v>45706</v>
      </c>
      <c r="B50" t="s">
        <v>16</v>
      </c>
      <c r="C50" t="s">
        <v>10</v>
      </c>
      <c r="D50">
        <v>45905</v>
      </c>
      <c r="E50">
        <v>2611</v>
      </c>
      <c r="H50" s="1">
        <v>45683</v>
      </c>
      <c r="I50" t="s">
        <v>5</v>
      </c>
      <c r="J50" t="s">
        <v>10</v>
      </c>
      <c r="K50">
        <v>37434</v>
      </c>
      <c r="L50">
        <v>8881</v>
      </c>
    </row>
    <row r="51" spans="1:12" x14ac:dyDescent="0.3">
      <c r="A51" s="1">
        <v>45707</v>
      </c>
      <c r="B51" t="s">
        <v>9</v>
      </c>
      <c r="C51" t="s">
        <v>27</v>
      </c>
      <c r="D51">
        <v>31956</v>
      </c>
      <c r="E51">
        <v>3448</v>
      </c>
      <c r="H51" s="1">
        <v>45684</v>
      </c>
      <c r="I51" t="s">
        <v>16</v>
      </c>
      <c r="J51" t="s">
        <v>26</v>
      </c>
      <c r="K51">
        <v>45668</v>
      </c>
      <c r="L51">
        <v>6444</v>
      </c>
    </row>
    <row r="52" spans="1:12" x14ac:dyDescent="0.3">
      <c r="A52" s="1">
        <v>45708</v>
      </c>
      <c r="B52" t="s">
        <v>19</v>
      </c>
      <c r="C52" t="s">
        <v>8</v>
      </c>
      <c r="D52">
        <v>33240</v>
      </c>
      <c r="E52">
        <v>9449</v>
      </c>
      <c r="H52" s="1">
        <v>45685</v>
      </c>
      <c r="I52" t="s">
        <v>9</v>
      </c>
      <c r="J52" t="s">
        <v>8</v>
      </c>
      <c r="K52">
        <v>42149</v>
      </c>
      <c r="L52">
        <v>6656</v>
      </c>
    </row>
    <row r="53" spans="1:12" x14ac:dyDescent="0.3">
      <c r="A53" s="1">
        <v>45709</v>
      </c>
      <c r="B53" t="s">
        <v>20</v>
      </c>
      <c r="C53" t="s">
        <v>26</v>
      </c>
      <c r="D53">
        <v>20700</v>
      </c>
      <c r="E53">
        <v>8318</v>
      </c>
      <c r="H53" s="1">
        <v>45686</v>
      </c>
      <c r="I53" t="s">
        <v>17</v>
      </c>
      <c r="J53" t="s">
        <v>27</v>
      </c>
      <c r="K53">
        <v>55878</v>
      </c>
      <c r="L53">
        <v>2272</v>
      </c>
    </row>
    <row r="54" spans="1:12" x14ac:dyDescent="0.3">
      <c r="A54" s="1">
        <v>45710</v>
      </c>
      <c r="B54" t="s">
        <v>21</v>
      </c>
      <c r="C54" t="s">
        <v>10</v>
      </c>
      <c r="D54">
        <v>38524</v>
      </c>
      <c r="E54">
        <v>3767</v>
      </c>
      <c r="H54" s="1">
        <v>45687</v>
      </c>
      <c r="I54" t="s">
        <v>18</v>
      </c>
      <c r="J54" t="s">
        <v>10</v>
      </c>
      <c r="K54">
        <v>49574</v>
      </c>
      <c r="L54">
        <v>7514</v>
      </c>
    </row>
    <row r="55" spans="1:12" x14ac:dyDescent="0.3">
      <c r="A55" s="1">
        <v>45711</v>
      </c>
      <c r="B55" t="s">
        <v>16</v>
      </c>
      <c r="C55" t="s">
        <v>27</v>
      </c>
      <c r="D55">
        <v>34245</v>
      </c>
      <c r="E55">
        <v>7652</v>
      </c>
      <c r="H55" s="1">
        <v>45688</v>
      </c>
      <c r="I55" t="s">
        <v>5</v>
      </c>
      <c r="J55" t="s">
        <v>26</v>
      </c>
      <c r="K55">
        <v>54994</v>
      </c>
      <c r="L55">
        <v>4828</v>
      </c>
    </row>
    <row r="56" spans="1:12" x14ac:dyDescent="0.3">
      <c r="A56" s="1">
        <v>45712</v>
      </c>
      <c r="B56" t="s">
        <v>9</v>
      </c>
      <c r="C56" t="s">
        <v>8</v>
      </c>
      <c r="D56">
        <v>34615</v>
      </c>
      <c r="E56">
        <v>2629</v>
      </c>
      <c r="H56" s="1">
        <v>45689</v>
      </c>
      <c r="I56" t="s">
        <v>16</v>
      </c>
      <c r="J56" t="s">
        <v>8</v>
      </c>
      <c r="K56">
        <v>28669</v>
      </c>
      <c r="L56">
        <v>2396</v>
      </c>
    </row>
    <row r="57" spans="1:12" x14ac:dyDescent="0.3">
      <c r="A57" s="1">
        <v>45713</v>
      </c>
      <c r="B57" t="s">
        <v>20</v>
      </c>
      <c r="C57" t="s">
        <v>26</v>
      </c>
      <c r="D57">
        <v>48695</v>
      </c>
      <c r="E57">
        <v>3872</v>
      </c>
      <c r="H57" s="1">
        <v>45690</v>
      </c>
      <c r="I57" t="s">
        <v>9</v>
      </c>
      <c r="J57" t="s">
        <v>27</v>
      </c>
      <c r="K57">
        <v>56985</v>
      </c>
      <c r="L57">
        <v>4648</v>
      </c>
    </row>
    <row r="58" spans="1:12" x14ac:dyDescent="0.3">
      <c r="A58" s="1">
        <v>45714</v>
      </c>
      <c r="B58" t="s">
        <v>21</v>
      </c>
      <c r="C58" t="s">
        <v>10</v>
      </c>
      <c r="D58">
        <v>21837</v>
      </c>
      <c r="E58">
        <v>8983</v>
      </c>
      <c r="H58" s="1">
        <v>45691</v>
      </c>
      <c r="I58" t="s">
        <v>17</v>
      </c>
      <c r="J58" t="s">
        <v>10</v>
      </c>
      <c r="K58">
        <v>54260</v>
      </c>
      <c r="L58">
        <v>6600</v>
      </c>
    </row>
    <row r="59" spans="1:12" x14ac:dyDescent="0.3">
      <c r="A59" s="1">
        <v>45715</v>
      </c>
      <c r="B59" t="s">
        <v>22</v>
      </c>
      <c r="C59" t="s">
        <v>27</v>
      </c>
      <c r="D59">
        <v>29712</v>
      </c>
      <c r="E59">
        <v>5878</v>
      </c>
      <c r="H59" s="1">
        <v>45692</v>
      </c>
      <c r="I59" t="s">
        <v>18</v>
      </c>
      <c r="J59" t="s">
        <v>26</v>
      </c>
      <c r="K59">
        <v>58897</v>
      </c>
      <c r="L59">
        <v>6189</v>
      </c>
    </row>
    <row r="60" spans="1:12" x14ac:dyDescent="0.3">
      <c r="A60" s="1">
        <v>45716</v>
      </c>
      <c r="B60" t="s">
        <v>23</v>
      </c>
      <c r="C60" t="s">
        <v>8</v>
      </c>
      <c r="D60">
        <v>53478</v>
      </c>
      <c r="E60">
        <v>5260</v>
      </c>
      <c r="H60" s="1">
        <v>45693</v>
      </c>
      <c r="I60" t="s">
        <v>5</v>
      </c>
      <c r="J60" t="s">
        <v>8</v>
      </c>
      <c r="K60">
        <v>46514</v>
      </c>
      <c r="L60">
        <v>7581</v>
      </c>
    </row>
    <row r="61" spans="1:12" x14ac:dyDescent="0.3">
      <c r="A61" s="1">
        <v>45717</v>
      </c>
      <c r="B61" t="s">
        <v>5</v>
      </c>
      <c r="C61" t="s">
        <v>26</v>
      </c>
      <c r="D61">
        <v>58760</v>
      </c>
      <c r="E61">
        <v>3228</v>
      </c>
      <c r="H61" s="1">
        <v>45694</v>
      </c>
      <c r="I61" t="s">
        <v>16</v>
      </c>
      <c r="J61" t="s">
        <v>27</v>
      </c>
      <c r="K61">
        <v>46526</v>
      </c>
      <c r="L61">
        <v>7062</v>
      </c>
    </row>
    <row r="62" spans="1:12" x14ac:dyDescent="0.3">
      <c r="A62" s="1">
        <v>45718</v>
      </c>
      <c r="B62" t="s">
        <v>20</v>
      </c>
      <c r="C62" t="s">
        <v>10</v>
      </c>
      <c r="D62">
        <v>57827</v>
      </c>
      <c r="E62">
        <v>8050</v>
      </c>
      <c r="H62" s="1">
        <v>45695</v>
      </c>
      <c r="I62" t="s">
        <v>9</v>
      </c>
      <c r="J62" t="s">
        <v>10</v>
      </c>
      <c r="K62">
        <v>17707</v>
      </c>
      <c r="L62">
        <v>3002</v>
      </c>
    </row>
    <row r="63" spans="1:12" x14ac:dyDescent="0.3">
      <c r="A63" s="1">
        <v>45719</v>
      </c>
      <c r="B63" t="s">
        <v>21</v>
      </c>
      <c r="C63" t="s">
        <v>27</v>
      </c>
      <c r="D63">
        <v>40608</v>
      </c>
      <c r="E63">
        <v>6821</v>
      </c>
      <c r="H63" s="1">
        <v>45696</v>
      </c>
      <c r="I63" t="s">
        <v>17</v>
      </c>
      <c r="J63" t="s">
        <v>26</v>
      </c>
      <c r="K63">
        <v>49709</v>
      </c>
      <c r="L63">
        <v>8863</v>
      </c>
    </row>
    <row r="64" spans="1:12" x14ac:dyDescent="0.3">
      <c r="A64" s="1">
        <v>45720</v>
      </c>
      <c r="B64" t="s">
        <v>22</v>
      </c>
      <c r="C64" t="s">
        <v>8</v>
      </c>
      <c r="D64">
        <v>49014</v>
      </c>
      <c r="E64">
        <v>6536</v>
      </c>
      <c r="H64" s="1">
        <v>45697</v>
      </c>
      <c r="I64" t="s">
        <v>18</v>
      </c>
      <c r="J64" t="s">
        <v>8</v>
      </c>
      <c r="K64">
        <v>37864</v>
      </c>
      <c r="L64">
        <v>5577</v>
      </c>
    </row>
    <row r="65" spans="1:12" x14ac:dyDescent="0.3">
      <c r="A65" s="1">
        <v>45721</v>
      </c>
      <c r="B65" t="s">
        <v>23</v>
      </c>
      <c r="C65" t="s">
        <v>26</v>
      </c>
      <c r="D65">
        <v>48909</v>
      </c>
      <c r="E65">
        <v>5424</v>
      </c>
      <c r="H65" s="1">
        <v>45698</v>
      </c>
      <c r="I65" t="s">
        <v>19</v>
      </c>
      <c r="J65" t="s">
        <v>27</v>
      </c>
      <c r="K65">
        <v>18263</v>
      </c>
      <c r="L65">
        <v>8224</v>
      </c>
    </row>
    <row r="66" spans="1:12" x14ac:dyDescent="0.3">
      <c r="A66" s="1">
        <v>45722</v>
      </c>
      <c r="B66" t="s">
        <v>5</v>
      </c>
      <c r="C66" t="s">
        <v>10</v>
      </c>
      <c r="D66">
        <v>29843</v>
      </c>
      <c r="E66">
        <v>3907</v>
      </c>
      <c r="H66" s="1">
        <v>45699</v>
      </c>
      <c r="I66" t="s">
        <v>20</v>
      </c>
      <c r="J66" t="s">
        <v>10</v>
      </c>
      <c r="K66">
        <v>31781</v>
      </c>
      <c r="L66">
        <v>8053</v>
      </c>
    </row>
    <row r="67" spans="1:12" x14ac:dyDescent="0.3">
      <c r="A67" s="1">
        <v>45723</v>
      </c>
      <c r="B67" t="s">
        <v>20</v>
      </c>
      <c r="C67" t="s">
        <v>27</v>
      </c>
      <c r="D67">
        <v>18488</v>
      </c>
      <c r="E67">
        <v>2890</v>
      </c>
      <c r="H67" s="1">
        <v>45700</v>
      </c>
      <c r="I67" t="s">
        <v>21</v>
      </c>
      <c r="J67" t="s">
        <v>26</v>
      </c>
      <c r="K67">
        <v>33160</v>
      </c>
      <c r="L67">
        <v>7910</v>
      </c>
    </row>
    <row r="68" spans="1:12" x14ac:dyDescent="0.3">
      <c r="A68" s="1">
        <v>45724</v>
      </c>
      <c r="B68" t="s">
        <v>21</v>
      </c>
      <c r="C68" t="s">
        <v>8</v>
      </c>
      <c r="D68">
        <v>18492</v>
      </c>
      <c r="E68">
        <v>9122</v>
      </c>
      <c r="H68" s="1">
        <v>45701</v>
      </c>
      <c r="I68" t="s">
        <v>16</v>
      </c>
      <c r="J68" t="s">
        <v>8</v>
      </c>
      <c r="K68">
        <v>48254</v>
      </c>
      <c r="L68">
        <v>3706</v>
      </c>
    </row>
    <row r="69" spans="1:12" x14ac:dyDescent="0.3">
      <c r="A69" s="1">
        <v>45725</v>
      </c>
      <c r="B69" t="s">
        <v>22</v>
      </c>
      <c r="C69" t="s">
        <v>26</v>
      </c>
      <c r="D69">
        <v>49273</v>
      </c>
      <c r="E69">
        <v>3647</v>
      </c>
      <c r="H69" s="1">
        <v>45702</v>
      </c>
      <c r="I69" t="s">
        <v>9</v>
      </c>
      <c r="J69" t="s">
        <v>27</v>
      </c>
      <c r="K69">
        <v>18059</v>
      </c>
      <c r="L69">
        <v>7473</v>
      </c>
    </row>
    <row r="70" spans="1:12" x14ac:dyDescent="0.3">
      <c r="A70" s="1">
        <v>45726</v>
      </c>
      <c r="B70" t="s">
        <v>23</v>
      </c>
      <c r="C70" t="s">
        <v>10</v>
      </c>
      <c r="D70">
        <v>57803</v>
      </c>
      <c r="E70">
        <v>6141</v>
      </c>
      <c r="H70" s="1">
        <v>45703</v>
      </c>
      <c r="I70" t="s">
        <v>19</v>
      </c>
      <c r="J70" t="s">
        <v>10</v>
      </c>
      <c r="K70">
        <v>15888</v>
      </c>
      <c r="L70">
        <v>5884</v>
      </c>
    </row>
    <row r="71" spans="1:12" x14ac:dyDescent="0.3">
      <c r="A71" s="1">
        <v>45727</v>
      </c>
      <c r="B71" t="s">
        <v>5</v>
      </c>
      <c r="C71" t="s">
        <v>27</v>
      </c>
      <c r="D71">
        <v>19192</v>
      </c>
      <c r="E71">
        <v>3544</v>
      </c>
      <c r="H71" s="1">
        <v>45704</v>
      </c>
      <c r="I71" t="s">
        <v>20</v>
      </c>
      <c r="J71" t="s">
        <v>26</v>
      </c>
      <c r="K71">
        <v>16253</v>
      </c>
      <c r="L71">
        <v>2581</v>
      </c>
    </row>
    <row r="72" spans="1:12" x14ac:dyDescent="0.3">
      <c r="A72" s="1">
        <v>45728</v>
      </c>
      <c r="B72" t="s">
        <v>20</v>
      </c>
      <c r="C72" t="s">
        <v>8</v>
      </c>
      <c r="D72">
        <v>10356</v>
      </c>
      <c r="E72">
        <v>7753</v>
      </c>
      <c r="H72" s="1">
        <v>45705</v>
      </c>
      <c r="I72" t="s">
        <v>21</v>
      </c>
      <c r="J72" t="s">
        <v>26</v>
      </c>
      <c r="K72">
        <v>59707</v>
      </c>
      <c r="L72">
        <v>4506</v>
      </c>
    </row>
    <row r="73" spans="1:12" x14ac:dyDescent="0.3">
      <c r="A73" s="1">
        <v>45729</v>
      </c>
      <c r="B73" t="s">
        <v>21</v>
      </c>
      <c r="C73" t="s">
        <v>10</v>
      </c>
      <c r="D73">
        <v>57562</v>
      </c>
      <c r="E73">
        <v>5137</v>
      </c>
      <c r="H73" s="1">
        <v>45706</v>
      </c>
      <c r="I73" t="s">
        <v>16</v>
      </c>
      <c r="J73" t="s">
        <v>10</v>
      </c>
      <c r="K73">
        <v>45905</v>
      </c>
      <c r="L73">
        <v>2611</v>
      </c>
    </row>
    <row r="74" spans="1:12" x14ac:dyDescent="0.3">
      <c r="A74" s="1">
        <v>45730</v>
      </c>
      <c r="B74" t="s">
        <v>22</v>
      </c>
      <c r="C74" t="s">
        <v>11</v>
      </c>
      <c r="D74">
        <v>12974</v>
      </c>
      <c r="E74">
        <v>4644</v>
      </c>
      <c r="H74" s="1">
        <v>45707</v>
      </c>
      <c r="I74" t="s">
        <v>9</v>
      </c>
      <c r="J74" t="s">
        <v>27</v>
      </c>
      <c r="K74">
        <v>31956</v>
      </c>
      <c r="L74">
        <v>3448</v>
      </c>
    </row>
    <row r="75" spans="1:12" x14ac:dyDescent="0.3">
      <c r="A75" s="1">
        <v>45731</v>
      </c>
      <c r="B75" t="s">
        <v>23</v>
      </c>
      <c r="C75" t="s">
        <v>24</v>
      </c>
      <c r="D75">
        <v>25246</v>
      </c>
      <c r="E75">
        <v>6846</v>
      </c>
      <c r="H75" s="1">
        <v>45708</v>
      </c>
      <c r="I75" t="s">
        <v>19</v>
      </c>
      <c r="J75" t="s">
        <v>8</v>
      </c>
      <c r="K75">
        <v>33240</v>
      </c>
      <c r="L75">
        <v>9449</v>
      </c>
    </row>
    <row r="76" spans="1:12" x14ac:dyDescent="0.3">
      <c r="A76" s="1">
        <v>45732</v>
      </c>
      <c r="B76" t="s">
        <v>5</v>
      </c>
      <c r="C76" t="s">
        <v>25</v>
      </c>
      <c r="D76">
        <v>47558</v>
      </c>
      <c r="E76">
        <v>4777</v>
      </c>
      <c r="H76" s="1">
        <v>45709</v>
      </c>
      <c r="I76" t="s">
        <v>20</v>
      </c>
      <c r="J76" t="s">
        <v>26</v>
      </c>
      <c r="K76">
        <v>20700</v>
      </c>
      <c r="L76">
        <v>8318</v>
      </c>
    </row>
    <row r="77" spans="1:12" x14ac:dyDescent="0.3">
      <c r="A77" s="1">
        <v>45733</v>
      </c>
      <c r="B77" t="s">
        <v>23</v>
      </c>
      <c r="C77" t="s">
        <v>10</v>
      </c>
      <c r="D77">
        <v>57929</v>
      </c>
      <c r="E77">
        <v>4381</v>
      </c>
      <c r="H77" s="1">
        <v>45710</v>
      </c>
      <c r="I77" t="s">
        <v>21</v>
      </c>
      <c r="J77" t="s">
        <v>10</v>
      </c>
      <c r="K77">
        <v>38524</v>
      </c>
      <c r="L77">
        <v>3767</v>
      </c>
    </row>
    <row r="78" spans="1:12" x14ac:dyDescent="0.3">
      <c r="A78" s="1">
        <v>45734</v>
      </c>
      <c r="B78" t="s">
        <v>21</v>
      </c>
      <c r="C78" t="s">
        <v>11</v>
      </c>
      <c r="D78">
        <v>56610</v>
      </c>
      <c r="E78">
        <v>2627</v>
      </c>
      <c r="H78" s="1">
        <v>45711</v>
      </c>
      <c r="I78" t="s">
        <v>16</v>
      </c>
      <c r="J78" t="s">
        <v>27</v>
      </c>
      <c r="K78">
        <v>34245</v>
      </c>
      <c r="L78">
        <v>7652</v>
      </c>
    </row>
    <row r="79" spans="1:12" x14ac:dyDescent="0.3">
      <c r="A79" s="1">
        <v>45735</v>
      </c>
      <c r="B79" t="s">
        <v>19</v>
      </c>
      <c r="C79" t="s">
        <v>24</v>
      </c>
      <c r="D79">
        <v>21848</v>
      </c>
      <c r="E79">
        <v>6403</v>
      </c>
      <c r="H79" s="1">
        <v>45712</v>
      </c>
      <c r="I79" t="s">
        <v>9</v>
      </c>
      <c r="J79" t="s">
        <v>8</v>
      </c>
      <c r="K79">
        <v>34615</v>
      </c>
      <c r="L79">
        <v>2629</v>
      </c>
    </row>
    <row r="80" spans="1:12" x14ac:dyDescent="0.3">
      <c r="A80" s="1">
        <v>45736</v>
      </c>
      <c r="B80" t="s">
        <v>20</v>
      </c>
      <c r="C80" t="s">
        <v>25</v>
      </c>
      <c r="D80">
        <v>25655</v>
      </c>
      <c r="E80">
        <v>5310</v>
      </c>
      <c r="H80" s="1">
        <v>45713</v>
      </c>
      <c r="I80" t="s">
        <v>20</v>
      </c>
      <c r="J80" t="s">
        <v>26</v>
      </c>
      <c r="K80">
        <v>48695</v>
      </c>
      <c r="L80">
        <v>3872</v>
      </c>
    </row>
    <row r="81" spans="1:12" x14ac:dyDescent="0.3">
      <c r="A81" s="1">
        <v>45737</v>
      </c>
      <c r="B81" t="s">
        <v>16</v>
      </c>
      <c r="C81" t="s">
        <v>10</v>
      </c>
      <c r="D81">
        <v>20425</v>
      </c>
      <c r="E81">
        <v>6060</v>
      </c>
      <c r="H81" s="1">
        <v>45714</v>
      </c>
      <c r="I81" t="s">
        <v>21</v>
      </c>
      <c r="J81" t="s">
        <v>10</v>
      </c>
      <c r="K81">
        <v>21837</v>
      </c>
      <c r="L81">
        <v>8983</v>
      </c>
    </row>
    <row r="82" spans="1:12" x14ac:dyDescent="0.3">
      <c r="A82" s="1">
        <v>45738</v>
      </c>
      <c r="B82" t="s">
        <v>23</v>
      </c>
      <c r="C82" t="s">
        <v>11</v>
      </c>
      <c r="D82">
        <v>52429</v>
      </c>
      <c r="E82">
        <v>6786</v>
      </c>
      <c r="H82" s="1">
        <v>45715</v>
      </c>
      <c r="I82" t="s">
        <v>22</v>
      </c>
      <c r="J82" t="s">
        <v>27</v>
      </c>
      <c r="K82">
        <v>29712</v>
      </c>
      <c r="L82">
        <v>5878</v>
      </c>
    </row>
    <row r="83" spans="1:12" x14ac:dyDescent="0.3">
      <c r="A83" s="1">
        <v>45739</v>
      </c>
      <c r="B83" t="s">
        <v>21</v>
      </c>
      <c r="C83" t="s">
        <v>24</v>
      </c>
      <c r="D83">
        <v>38010</v>
      </c>
      <c r="E83">
        <v>5916</v>
      </c>
      <c r="H83" s="1">
        <v>45716</v>
      </c>
      <c r="I83" t="s">
        <v>23</v>
      </c>
      <c r="J83" t="s">
        <v>8</v>
      </c>
      <c r="K83">
        <v>53478</v>
      </c>
      <c r="L83">
        <v>5260</v>
      </c>
    </row>
    <row r="84" spans="1:12" x14ac:dyDescent="0.3">
      <c r="A84" s="1">
        <v>45740</v>
      </c>
      <c r="B84" t="s">
        <v>19</v>
      </c>
      <c r="C84" t="s">
        <v>25</v>
      </c>
      <c r="D84">
        <v>13363</v>
      </c>
      <c r="E84">
        <v>4564</v>
      </c>
      <c r="H84" s="1">
        <v>45717</v>
      </c>
      <c r="I84" t="s">
        <v>5</v>
      </c>
      <c r="J84" t="s">
        <v>26</v>
      </c>
      <c r="K84">
        <v>58760</v>
      </c>
      <c r="L84">
        <v>3228</v>
      </c>
    </row>
    <row r="85" spans="1:12" x14ac:dyDescent="0.3">
      <c r="A85" s="1">
        <v>45741</v>
      </c>
      <c r="B85" t="s">
        <v>20</v>
      </c>
      <c r="C85" t="s">
        <v>10</v>
      </c>
      <c r="D85">
        <v>34733</v>
      </c>
      <c r="E85">
        <v>3805</v>
      </c>
      <c r="H85" s="1">
        <v>45718</v>
      </c>
      <c r="I85" t="s">
        <v>20</v>
      </c>
      <c r="J85" t="s">
        <v>10</v>
      </c>
      <c r="K85">
        <v>57827</v>
      </c>
      <c r="L85">
        <v>8050</v>
      </c>
    </row>
    <row r="86" spans="1:12" x14ac:dyDescent="0.3">
      <c r="A86" s="1">
        <v>45742</v>
      </c>
      <c r="B86" t="s">
        <v>16</v>
      </c>
      <c r="C86" t="s">
        <v>11</v>
      </c>
      <c r="D86">
        <v>16252</v>
      </c>
      <c r="E86">
        <v>4220</v>
      </c>
      <c r="H86" s="1">
        <v>45719</v>
      </c>
      <c r="I86" t="s">
        <v>21</v>
      </c>
      <c r="J86" t="s">
        <v>27</v>
      </c>
      <c r="K86">
        <v>40608</v>
      </c>
      <c r="L86">
        <v>6821</v>
      </c>
    </row>
    <row r="87" spans="1:12" x14ac:dyDescent="0.3">
      <c r="A87" s="1">
        <v>45743</v>
      </c>
      <c r="B87" t="s">
        <v>23</v>
      </c>
      <c r="C87" t="s">
        <v>24</v>
      </c>
      <c r="D87">
        <v>31451</v>
      </c>
      <c r="E87">
        <v>2589</v>
      </c>
      <c r="H87" s="1">
        <v>45720</v>
      </c>
      <c r="I87" t="s">
        <v>22</v>
      </c>
      <c r="J87" t="s">
        <v>8</v>
      </c>
      <c r="K87">
        <v>49014</v>
      </c>
      <c r="L87">
        <v>6536</v>
      </c>
    </row>
    <row r="88" spans="1:12" x14ac:dyDescent="0.3">
      <c r="A88" s="1">
        <v>45744</v>
      </c>
      <c r="B88" t="s">
        <v>21</v>
      </c>
      <c r="C88" t="s">
        <v>8</v>
      </c>
      <c r="D88">
        <v>54404</v>
      </c>
      <c r="E88">
        <v>7177</v>
      </c>
      <c r="H88" s="1">
        <v>45721</v>
      </c>
      <c r="I88" t="s">
        <v>23</v>
      </c>
      <c r="J88" t="s">
        <v>26</v>
      </c>
      <c r="K88">
        <v>48909</v>
      </c>
      <c r="L88">
        <v>5424</v>
      </c>
    </row>
    <row r="89" spans="1:12" x14ac:dyDescent="0.3">
      <c r="A89" s="1">
        <v>45745</v>
      </c>
      <c r="B89" t="s">
        <v>19</v>
      </c>
      <c r="C89" t="s">
        <v>6</v>
      </c>
      <c r="D89">
        <v>52070</v>
      </c>
      <c r="E89">
        <v>9539</v>
      </c>
      <c r="H89" s="1">
        <v>45722</v>
      </c>
      <c r="I89" t="s">
        <v>5</v>
      </c>
      <c r="J89" t="s">
        <v>10</v>
      </c>
      <c r="K89">
        <v>29843</v>
      </c>
      <c r="L89">
        <v>3907</v>
      </c>
    </row>
    <row r="90" spans="1:12" x14ac:dyDescent="0.3">
      <c r="A90" s="1">
        <v>45746</v>
      </c>
      <c r="B90" t="s">
        <v>20</v>
      </c>
      <c r="C90" t="s">
        <v>10</v>
      </c>
      <c r="D90">
        <v>11215</v>
      </c>
      <c r="E90">
        <v>3146</v>
      </c>
      <c r="H90" s="1">
        <v>45723</v>
      </c>
      <c r="I90" t="s">
        <v>20</v>
      </c>
      <c r="J90" t="s">
        <v>27</v>
      </c>
      <c r="K90">
        <v>18488</v>
      </c>
      <c r="L90">
        <v>2890</v>
      </c>
    </row>
    <row r="91" spans="1:12" x14ac:dyDescent="0.3">
      <c r="A91" s="1">
        <v>45747</v>
      </c>
      <c r="B91" t="s">
        <v>16</v>
      </c>
      <c r="C91" t="s">
        <v>11</v>
      </c>
      <c r="D91">
        <v>54875</v>
      </c>
      <c r="E91">
        <v>5992</v>
      </c>
      <c r="H91" s="1">
        <v>45724</v>
      </c>
      <c r="I91" t="s">
        <v>21</v>
      </c>
      <c r="J91" t="s">
        <v>8</v>
      </c>
      <c r="K91">
        <v>18492</v>
      </c>
      <c r="L91">
        <v>9122</v>
      </c>
    </row>
    <row r="92" spans="1:12" x14ac:dyDescent="0.3">
      <c r="A92" s="1">
        <v>45748</v>
      </c>
      <c r="B92" t="s">
        <v>23</v>
      </c>
      <c r="C92" t="s">
        <v>8</v>
      </c>
      <c r="D92">
        <v>54307</v>
      </c>
      <c r="E92">
        <v>9287</v>
      </c>
      <c r="H92" s="1">
        <v>45725</v>
      </c>
      <c r="I92" t="s">
        <v>22</v>
      </c>
      <c r="J92" t="s">
        <v>26</v>
      </c>
      <c r="K92">
        <v>49273</v>
      </c>
      <c r="L92">
        <v>3647</v>
      </c>
    </row>
    <row r="93" spans="1:12" x14ac:dyDescent="0.3">
      <c r="A93" s="1">
        <v>45749</v>
      </c>
      <c r="B93" t="s">
        <v>21</v>
      </c>
      <c r="C93" t="s">
        <v>6</v>
      </c>
      <c r="D93">
        <v>58502</v>
      </c>
      <c r="E93">
        <v>7286</v>
      </c>
      <c r="H93" s="1">
        <v>45726</v>
      </c>
      <c r="I93" t="s">
        <v>23</v>
      </c>
      <c r="J93" t="s">
        <v>10</v>
      </c>
      <c r="K93">
        <v>57803</v>
      </c>
      <c r="L93">
        <v>6141</v>
      </c>
    </row>
    <row r="94" spans="1:12" x14ac:dyDescent="0.3">
      <c r="A94" s="1">
        <v>45750</v>
      </c>
      <c r="B94" t="s">
        <v>19</v>
      </c>
      <c r="C94" t="s">
        <v>10</v>
      </c>
      <c r="D94">
        <v>14033</v>
      </c>
      <c r="E94">
        <v>2517</v>
      </c>
      <c r="H94" s="1">
        <v>45727</v>
      </c>
      <c r="I94" t="s">
        <v>5</v>
      </c>
      <c r="J94" t="s">
        <v>27</v>
      </c>
      <c r="K94">
        <v>19192</v>
      </c>
      <c r="L94">
        <v>3544</v>
      </c>
    </row>
    <row r="95" spans="1:12" x14ac:dyDescent="0.3">
      <c r="A95" s="1">
        <v>45751</v>
      </c>
      <c r="B95" t="s">
        <v>20</v>
      </c>
      <c r="C95" t="s">
        <v>11</v>
      </c>
      <c r="D95">
        <v>16893</v>
      </c>
      <c r="E95">
        <v>8148</v>
      </c>
      <c r="H95" s="1">
        <v>45728</v>
      </c>
      <c r="I95" t="s">
        <v>20</v>
      </c>
      <c r="J95" t="s">
        <v>8</v>
      </c>
      <c r="K95">
        <v>10356</v>
      </c>
      <c r="L95">
        <v>7753</v>
      </c>
    </row>
    <row r="96" spans="1:12" x14ac:dyDescent="0.3">
      <c r="A96" s="1">
        <v>45752</v>
      </c>
      <c r="B96" t="s">
        <v>16</v>
      </c>
      <c r="C96" t="s">
        <v>8</v>
      </c>
      <c r="D96">
        <v>26109</v>
      </c>
      <c r="E96">
        <v>9751</v>
      </c>
      <c r="H96" s="1">
        <v>45729</v>
      </c>
      <c r="I96" t="s">
        <v>21</v>
      </c>
      <c r="J96" t="s">
        <v>10</v>
      </c>
      <c r="K96">
        <v>57562</v>
      </c>
      <c r="L96">
        <v>5137</v>
      </c>
    </row>
    <row r="97" spans="1:12" x14ac:dyDescent="0.3">
      <c r="A97" s="1">
        <v>45753</v>
      </c>
      <c r="B97" t="s">
        <v>23</v>
      </c>
      <c r="C97" t="s">
        <v>6</v>
      </c>
      <c r="D97">
        <v>22588</v>
      </c>
      <c r="E97">
        <v>9448</v>
      </c>
      <c r="H97" s="1">
        <v>45730</v>
      </c>
      <c r="I97" t="s">
        <v>22</v>
      </c>
      <c r="J97" t="s">
        <v>11</v>
      </c>
      <c r="K97">
        <v>12974</v>
      </c>
      <c r="L97">
        <v>4644</v>
      </c>
    </row>
    <row r="98" spans="1:12" x14ac:dyDescent="0.3">
      <c r="A98" s="1">
        <v>45754</v>
      </c>
      <c r="B98" t="s">
        <v>21</v>
      </c>
      <c r="C98" t="s">
        <v>10</v>
      </c>
      <c r="D98">
        <v>42166</v>
      </c>
      <c r="E98">
        <v>3248</v>
      </c>
      <c r="H98" s="1">
        <v>45731</v>
      </c>
      <c r="I98" t="s">
        <v>23</v>
      </c>
      <c r="J98" t="s">
        <v>24</v>
      </c>
      <c r="K98">
        <v>25246</v>
      </c>
      <c r="L98">
        <v>6846</v>
      </c>
    </row>
    <row r="99" spans="1:12" x14ac:dyDescent="0.3">
      <c r="A99" s="1">
        <v>45755</v>
      </c>
      <c r="B99" t="s">
        <v>19</v>
      </c>
      <c r="C99" t="s">
        <v>11</v>
      </c>
      <c r="D99">
        <v>34347</v>
      </c>
      <c r="E99">
        <v>5899</v>
      </c>
      <c r="H99" s="1">
        <v>45732</v>
      </c>
      <c r="I99" t="s">
        <v>5</v>
      </c>
      <c r="J99" t="s">
        <v>25</v>
      </c>
      <c r="K99">
        <v>47558</v>
      </c>
      <c r="L99">
        <v>4777</v>
      </c>
    </row>
    <row r="100" spans="1:12" x14ac:dyDescent="0.3">
      <c r="A100" s="1">
        <v>45756</v>
      </c>
      <c r="B100" t="s">
        <v>20</v>
      </c>
      <c r="C100" t="s">
        <v>8</v>
      </c>
      <c r="D100">
        <v>43411</v>
      </c>
      <c r="E100">
        <v>8635</v>
      </c>
      <c r="H100" s="1">
        <v>45733</v>
      </c>
      <c r="I100" t="s">
        <v>23</v>
      </c>
      <c r="J100" t="s">
        <v>10</v>
      </c>
      <c r="K100">
        <v>57929</v>
      </c>
      <c r="L100">
        <v>4381</v>
      </c>
    </row>
    <row r="101" spans="1:12" x14ac:dyDescent="0.3">
      <c r="A101" s="1">
        <v>45757</v>
      </c>
      <c r="B101" t="s">
        <v>16</v>
      </c>
      <c r="C101" t="s">
        <v>6</v>
      </c>
      <c r="D101">
        <v>46198</v>
      </c>
      <c r="E101">
        <v>5047</v>
      </c>
      <c r="H101" s="1">
        <v>45734</v>
      </c>
      <c r="I101" t="s">
        <v>21</v>
      </c>
      <c r="J101" t="s">
        <v>11</v>
      </c>
      <c r="K101">
        <v>56610</v>
      </c>
      <c r="L101">
        <v>2627</v>
      </c>
    </row>
    <row r="102" spans="1:12" x14ac:dyDescent="0.3">
      <c r="H102" s="1">
        <v>45735</v>
      </c>
      <c r="I102" t="s">
        <v>19</v>
      </c>
      <c r="J102" t="s">
        <v>24</v>
      </c>
      <c r="K102">
        <v>21848</v>
      </c>
      <c r="L102">
        <v>6403</v>
      </c>
    </row>
    <row r="103" spans="1:12" x14ac:dyDescent="0.3">
      <c r="H103" s="1">
        <v>45736</v>
      </c>
      <c r="I103" t="s">
        <v>20</v>
      </c>
      <c r="J103" t="s">
        <v>25</v>
      </c>
      <c r="K103">
        <v>25655</v>
      </c>
      <c r="L103">
        <v>5310</v>
      </c>
    </row>
    <row r="104" spans="1:12" x14ac:dyDescent="0.3">
      <c r="H104" s="1">
        <v>45737</v>
      </c>
      <c r="I104" t="s">
        <v>16</v>
      </c>
      <c r="J104" t="s">
        <v>10</v>
      </c>
      <c r="K104">
        <v>20425</v>
      </c>
      <c r="L104">
        <v>6060</v>
      </c>
    </row>
    <row r="105" spans="1:12" x14ac:dyDescent="0.3">
      <c r="H105" s="1">
        <v>45738</v>
      </c>
      <c r="I105" t="s">
        <v>23</v>
      </c>
      <c r="J105" t="s">
        <v>11</v>
      </c>
      <c r="K105">
        <v>52429</v>
      </c>
      <c r="L105">
        <v>6786</v>
      </c>
    </row>
    <row r="106" spans="1:12" x14ac:dyDescent="0.3">
      <c r="H106" s="1">
        <v>45739</v>
      </c>
      <c r="I106" t="s">
        <v>21</v>
      </c>
      <c r="J106" t="s">
        <v>24</v>
      </c>
      <c r="K106">
        <v>38010</v>
      </c>
      <c r="L106">
        <v>5916</v>
      </c>
    </row>
    <row r="107" spans="1:12" x14ac:dyDescent="0.3">
      <c r="H107" s="1">
        <v>45740</v>
      </c>
      <c r="I107" t="s">
        <v>19</v>
      </c>
      <c r="J107" t="s">
        <v>25</v>
      </c>
      <c r="K107">
        <v>13363</v>
      </c>
      <c r="L107">
        <v>4564</v>
      </c>
    </row>
    <row r="108" spans="1:12" x14ac:dyDescent="0.3">
      <c r="H108" s="1">
        <v>45741</v>
      </c>
      <c r="I108" t="s">
        <v>20</v>
      </c>
      <c r="J108" t="s">
        <v>10</v>
      </c>
      <c r="K108">
        <v>34733</v>
      </c>
      <c r="L108">
        <v>3805</v>
      </c>
    </row>
    <row r="109" spans="1:12" x14ac:dyDescent="0.3">
      <c r="H109" s="1">
        <v>45742</v>
      </c>
      <c r="I109" t="s">
        <v>16</v>
      </c>
      <c r="J109" t="s">
        <v>11</v>
      </c>
      <c r="K109">
        <v>16252</v>
      </c>
      <c r="L109">
        <v>4220</v>
      </c>
    </row>
    <row r="110" spans="1:12" x14ac:dyDescent="0.3">
      <c r="H110" s="1">
        <v>45743</v>
      </c>
      <c r="I110" t="s">
        <v>23</v>
      </c>
      <c r="J110" t="s">
        <v>24</v>
      </c>
      <c r="K110">
        <v>31451</v>
      </c>
      <c r="L110">
        <v>2589</v>
      </c>
    </row>
    <row r="111" spans="1:12" x14ac:dyDescent="0.3">
      <c r="H111" s="1">
        <v>45744</v>
      </c>
      <c r="I111" t="s">
        <v>21</v>
      </c>
      <c r="J111" t="s">
        <v>8</v>
      </c>
      <c r="K111">
        <v>54404</v>
      </c>
      <c r="L111">
        <v>7177</v>
      </c>
    </row>
    <row r="112" spans="1:12" x14ac:dyDescent="0.3">
      <c r="H112" s="1">
        <v>45745</v>
      </c>
      <c r="I112" t="s">
        <v>19</v>
      </c>
      <c r="J112" t="s">
        <v>6</v>
      </c>
      <c r="K112">
        <v>52070</v>
      </c>
      <c r="L112">
        <v>9539</v>
      </c>
    </row>
    <row r="113" spans="8:12" x14ac:dyDescent="0.3">
      <c r="H113" s="1">
        <v>45746</v>
      </c>
      <c r="I113" t="s">
        <v>20</v>
      </c>
      <c r="J113" t="s">
        <v>10</v>
      </c>
      <c r="K113">
        <v>11215</v>
      </c>
      <c r="L113">
        <v>3146</v>
      </c>
    </row>
    <row r="114" spans="8:12" x14ac:dyDescent="0.3">
      <c r="H114" s="1">
        <v>45747</v>
      </c>
      <c r="I114" t="s">
        <v>16</v>
      </c>
      <c r="J114" t="s">
        <v>11</v>
      </c>
      <c r="K114">
        <v>54875</v>
      </c>
      <c r="L114">
        <v>5992</v>
      </c>
    </row>
    <row r="115" spans="8:12" x14ac:dyDescent="0.3">
      <c r="H115" s="1">
        <v>45748</v>
      </c>
      <c r="I115" t="s">
        <v>23</v>
      </c>
      <c r="J115" t="s">
        <v>8</v>
      </c>
      <c r="K115">
        <v>54307</v>
      </c>
      <c r="L115">
        <v>9287</v>
      </c>
    </row>
    <row r="116" spans="8:12" x14ac:dyDescent="0.3">
      <c r="H116" s="1">
        <v>45749</v>
      </c>
      <c r="I116" t="s">
        <v>21</v>
      </c>
      <c r="J116" t="s">
        <v>6</v>
      </c>
      <c r="K116">
        <v>58502</v>
      </c>
      <c r="L116">
        <v>7286</v>
      </c>
    </row>
    <row r="117" spans="8:12" x14ac:dyDescent="0.3">
      <c r="H117" s="1">
        <v>45750</v>
      </c>
      <c r="I117" t="s">
        <v>19</v>
      </c>
      <c r="J117" t="s">
        <v>10</v>
      </c>
      <c r="K117">
        <v>14033</v>
      </c>
      <c r="L117">
        <v>2517</v>
      </c>
    </row>
    <row r="118" spans="8:12" x14ac:dyDescent="0.3">
      <c r="H118" s="1">
        <v>45751</v>
      </c>
      <c r="I118" t="s">
        <v>20</v>
      </c>
      <c r="J118" t="s">
        <v>11</v>
      </c>
      <c r="K118">
        <v>16893</v>
      </c>
      <c r="L118">
        <v>8148</v>
      </c>
    </row>
    <row r="119" spans="8:12" x14ac:dyDescent="0.3">
      <c r="H119" s="1">
        <v>45752</v>
      </c>
      <c r="I119" t="s">
        <v>16</v>
      </c>
      <c r="J119" t="s">
        <v>8</v>
      </c>
      <c r="K119">
        <v>26109</v>
      </c>
      <c r="L119">
        <v>9751</v>
      </c>
    </row>
    <row r="120" spans="8:12" x14ac:dyDescent="0.3">
      <c r="H120" s="1">
        <v>45753</v>
      </c>
      <c r="I120" t="s">
        <v>23</v>
      </c>
      <c r="J120" t="s">
        <v>6</v>
      </c>
      <c r="K120">
        <v>22588</v>
      </c>
      <c r="L120">
        <v>9448</v>
      </c>
    </row>
    <row r="121" spans="8:12" x14ac:dyDescent="0.3">
      <c r="H121" s="1">
        <v>45754</v>
      </c>
      <c r="I121" t="s">
        <v>21</v>
      </c>
      <c r="J121" t="s">
        <v>10</v>
      </c>
      <c r="K121">
        <v>42166</v>
      </c>
      <c r="L121">
        <v>3248</v>
      </c>
    </row>
    <row r="122" spans="8:12" x14ac:dyDescent="0.3">
      <c r="H122" s="1">
        <v>45755</v>
      </c>
      <c r="I122" t="s">
        <v>19</v>
      </c>
      <c r="J122" t="s">
        <v>11</v>
      </c>
      <c r="K122">
        <v>34347</v>
      </c>
      <c r="L122">
        <v>5899</v>
      </c>
    </row>
    <row r="123" spans="8:12" x14ac:dyDescent="0.3">
      <c r="H123" s="1">
        <v>45756</v>
      </c>
      <c r="I123" t="s">
        <v>20</v>
      </c>
      <c r="J123" t="s">
        <v>8</v>
      </c>
      <c r="K123">
        <v>43411</v>
      </c>
      <c r="L123">
        <v>8635</v>
      </c>
    </row>
    <row r="124" spans="8:12" x14ac:dyDescent="0.3">
      <c r="H124" s="1">
        <v>45757</v>
      </c>
      <c r="I124" t="s">
        <v>16</v>
      </c>
      <c r="J124" t="s">
        <v>6</v>
      </c>
      <c r="K124">
        <v>46198</v>
      </c>
      <c r="L124">
        <v>5047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DC15A-75BE-42C2-89C8-9CCF29DCFB01}">
  <dimension ref="A1:I139"/>
  <sheetViews>
    <sheetView zoomScaleNormal="100" workbookViewId="0">
      <selection activeCell="I49" sqref="I49"/>
    </sheetView>
  </sheetViews>
  <sheetFormatPr defaultRowHeight="14.4" x14ac:dyDescent="0.3"/>
  <cols>
    <col min="1" max="1" width="12.5546875" bestFit="1" customWidth="1"/>
    <col min="2" max="2" width="11.6640625" bestFit="1" customWidth="1"/>
    <col min="3" max="3" width="12.109375" bestFit="1" customWidth="1"/>
    <col min="5" max="5" width="18.44140625" customWidth="1"/>
    <col min="6" max="6" width="16.33203125" customWidth="1"/>
    <col min="7" max="7" width="15.21875" customWidth="1"/>
    <col min="8" max="8" width="8.88671875" hidden="1" customWidth="1"/>
    <col min="9" max="9" width="14.109375" customWidth="1"/>
  </cols>
  <sheetData>
    <row r="1" spans="1:9" ht="25.8" x14ac:dyDescent="0.5">
      <c r="A1" s="2" t="s">
        <v>1</v>
      </c>
      <c r="B1" t="s">
        <v>35</v>
      </c>
      <c r="C1" s="4"/>
      <c r="E1" s="5" t="s">
        <v>30</v>
      </c>
      <c r="I1" s="5"/>
    </row>
    <row r="2" spans="1:9" ht="15.6" x14ac:dyDescent="0.3">
      <c r="E2" s="8"/>
      <c r="F2" s="8"/>
      <c r="G2" s="8"/>
    </row>
    <row r="3" spans="1:9" ht="15.6" x14ac:dyDescent="0.3">
      <c r="A3" s="2" t="s">
        <v>12</v>
      </c>
      <c r="B3" t="s">
        <v>14</v>
      </c>
      <c r="C3" t="s">
        <v>15</v>
      </c>
      <c r="E3" s="6" t="s">
        <v>31</v>
      </c>
      <c r="F3" s="6" t="s">
        <v>32</v>
      </c>
      <c r="G3" s="6" t="s">
        <v>33</v>
      </c>
    </row>
    <row r="4" spans="1:9" ht="15.6" x14ac:dyDescent="0.3">
      <c r="A4" s="3" t="s">
        <v>10</v>
      </c>
      <c r="B4">
        <v>195000</v>
      </c>
      <c r="C4">
        <v>30650</v>
      </c>
      <c r="E4" s="7">
        <v>3705931</v>
      </c>
      <c r="F4" s="7">
        <f>SUM(Sheet5!L25:L124)</f>
        <v>574030</v>
      </c>
      <c r="G4" s="6">
        <f>COUNT(Sheet5!H24:H124)</f>
        <v>100</v>
      </c>
    </row>
    <row r="5" spans="1:9" x14ac:dyDescent="0.3">
      <c r="A5" s="3" t="s">
        <v>8</v>
      </c>
      <c r="B5">
        <v>212000</v>
      </c>
      <c r="C5">
        <v>31700</v>
      </c>
    </row>
    <row r="6" spans="1:9" x14ac:dyDescent="0.3">
      <c r="A6" s="3" t="s">
        <v>6</v>
      </c>
      <c r="B6">
        <v>255000</v>
      </c>
      <c r="C6">
        <v>40100</v>
      </c>
    </row>
    <row r="7" spans="1:9" x14ac:dyDescent="0.3">
      <c r="A7" s="3" t="s">
        <v>11</v>
      </c>
      <c r="B7">
        <v>222000</v>
      </c>
      <c r="C7">
        <v>33900</v>
      </c>
    </row>
    <row r="8" spans="1:9" x14ac:dyDescent="0.3">
      <c r="A8" s="3" t="s">
        <v>13</v>
      </c>
      <c r="B8">
        <v>884000</v>
      </c>
      <c r="C8">
        <v>136350</v>
      </c>
    </row>
    <row r="30" ht="13.8" customHeight="1" x14ac:dyDescent="0.3"/>
    <row r="31" ht="13.8" customHeight="1" x14ac:dyDescent="0.3"/>
    <row r="137" spans="1:5" x14ac:dyDescent="0.3">
      <c r="A137" t="s">
        <v>34</v>
      </c>
      <c r="D137">
        <f>SUM(Sheet5!K25:K124)</f>
        <v>3705931</v>
      </c>
    </row>
    <row r="138" spans="1:5" x14ac:dyDescent="0.3">
      <c r="A138" t="s">
        <v>32</v>
      </c>
      <c r="E138">
        <f>SUM(Sheet5!L25:L124)</f>
        <v>574030</v>
      </c>
    </row>
    <row r="139" spans="1:5" x14ac:dyDescent="0.3">
      <c r="A139" t="s">
        <v>33</v>
      </c>
      <c r="E139">
        <f>COUNT(Sheet5!H25:H124)</f>
        <v>100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7AAD2-76DC-4390-AB6E-99F8F42072D4}">
  <dimension ref="A1:E101"/>
  <sheetViews>
    <sheetView tabSelected="1" workbookViewId="0">
      <selection sqref="A1:E101"/>
    </sheetView>
  </sheetViews>
  <sheetFormatPr defaultRowHeight="14.4" x14ac:dyDescent="0.3"/>
  <cols>
    <col min="1" max="1" width="10.33203125" bestFit="1" customWidth="1"/>
    <col min="2" max="2" width="9.5546875" customWidth="1"/>
  </cols>
  <sheetData>
    <row r="1" spans="1:5" x14ac:dyDescent="0.3">
      <c r="A1" t="s">
        <v>0</v>
      </c>
      <c r="B1" t="s">
        <v>1</v>
      </c>
      <c r="C1" t="s">
        <v>2</v>
      </c>
      <c r="D1" t="s">
        <v>3</v>
      </c>
      <c r="E1" t="s">
        <v>4</v>
      </c>
    </row>
    <row r="2" spans="1:5" x14ac:dyDescent="0.3">
      <c r="A2" s="1">
        <v>45658</v>
      </c>
      <c r="B2" t="s">
        <v>5</v>
      </c>
      <c r="C2" t="s">
        <v>8</v>
      </c>
      <c r="D2">
        <v>49726</v>
      </c>
      <c r="E2">
        <v>8748</v>
      </c>
    </row>
    <row r="3" spans="1:5" x14ac:dyDescent="0.3">
      <c r="A3" s="1">
        <v>45659</v>
      </c>
      <c r="B3" t="s">
        <v>16</v>
      </c>
      <c r="C3" t="s">
        <v>6</v>
      </c>
      <c r="D3">
        <v>28657</v>
      </c>
      <c r="E3">
        <v>5565</v>
      </c>
    </row>
    <row r="4" spans="1:5" x14ac:dyDescent="0.3">
      <c r="A4" s="1">
        <v>45660</v>
      </c>
      <c r="B4" t="s">
        <v>9</v>
      </c>
      <c r="C4" t="s">
        <v>10</v>
      </c>
      <c r="D4">
        <v>15118</v>
      </c>
      <c r="E4">
        <v>3709</v>
      </c>
    </row>
    <row r="5" spans="1:5" x14ac:dyDescent="0.3">
      <c r="A5" s="1">
        <v>45661</v>
      </c>
      <c r="B5" t="s">
        <v>17</v>
      </c>
      <c r="C5" t="s">
        <v>11</v>
      </c>
      <c r="D5">
        <v>43129</v>
      </c>
      <c r="E5">
        <v>5437</v>
      </c>
    </row>
    <row r="6" spans="1:5" x14ac:dyDescent="0.3">
      <c r="A6" s="1">
        <v>45662</v>
      </c>
      <c r="B6" t="s">
        <v>18</v>
      </c>
      <c r="C6" t="s">
        <v>8</v>
      </c>
      <c r="D6">
        <v>40998</v>
      </c>
      <c r="E6">
        <v>9330</v>
      </c>
    </row>
    <row r="7" spans="1:5" x14ac:dyDescent="0.3">
      <c r="A7" s="1">
        <v>45663</v>
      </c>
      <c r="B7" t="s">
        <v>5</v>
      </c>
      <c r="C7" t="s">
        <v>6</v>
      </c>
      <c r="D7">
        <v>49554</v>
      </c>
      <c r="E7">
        <v>7509</v>
      </c>
    </row>
    <row r="8" spans="1:5" x14ac:dyDescent="0.3">
      <c r="A8" s="1">
        <v>45664</v>
      </c>
      <c r="B8" t="s">
        <v>16</v>
      </c>
      <c r="C8" t="s">
        <v>10</v>
      </c>
      <c r="D8">
        <v>50872</v>
      </c>
      <c r="E8">
        <v>4107</v>
      </c>
    </row>
    <row r="9" spans="1:5" x14ac:dyDescent="0.3">
      <c r="A9" s="1">
        <v>45665</v>
      </c>
      <c r="B9" t="s">
        <v>9</v>
      </c>
      <c r="C9" t="s">
        <v>11</v>
      </c>
      <c r="D9">
        <v>53104</v>
      </c>
      <c r="E9">
        <v>6934</v>
      </c>
    </row>
    <row r="10" spans="1:5" x14ac:dyDescent="0.3">
      <c r="A10" s="1">
        <v>45666</v>
      </c>
      <c r="B10" t="s">
        <v>17</v>
      </c>
      <c r="C10" t="s">
        <v>8</v>
      </c>
      <c r="D10">
        <v>30978</v>
      </c>
      <c r="E10">
        <v>2446</v>
      </c>
    </row>
    <row r="11" spans="1:5" x14ac:dyDescent="0.3">
      <c r="A11" s="1">
        <v>45667</v>
      </c>
      <c r="B11" t="s">
        <v>18</v>
      </c>
      <c r="C11" t="s">
        <v>6</v>
      </c>
      <c r="D11">
        <v>30823</v>
      </c>
      <c r="E11">
        <v>3343</v>
      </c>
    </row>
    <row r="12" spans="1:5" x14ac:dyDescent="0.3">
      <c r="A12" s="1">
        <v>45668</v>
      </c>
      <c r="B12" t="s">
        <v>5</v>
      </c>
      <c r="C12" t="s">
        <v>10</v>
      </c>
      <c r="D12">
        <v>10199</v>
      </c>
      <c r="E12">
        <v>3670</v>
      </c>
    </row>
    <row r="13" spans="1:5" x14ac:dyDescent="0.3">
      <c r="A13" s="1">
        <v>45669</v>
      </c>
      <c r="B13" t="s">
        <v>16</v>
      </c>
      <c r="C13" t="s">
        <v>11</v>
      </c>
      <c r="D13">
        <v>10444</v>
      </c>
      <c r="E13">
        <v>2064</v>
      </c>
    </row>
    <row r="14" spans="1:5" x14ac:dyDescent="0.3">
      <c r="A14" s="1">
        <v>45670</v>
      </c>
      <c r="B14" t="s">
        <v>9</v>
      </c>
      <c r="C14" t="s">
        <v>10</v>
      </c>
      <c r="D14">
        <v>11135</v>
      </c>
      <c r="E14">
        <v>9832</v>
      </c>
    </row>
    <row r="15" spans="1:5" x14ac:dyDescent="0.3">
      <c r="A15" s="1">
        <v>45671</v>
      </c>
      <c r="B15" t="s">
        <v>17</v>
      </c>
      <c r="C15" t="s">
        <v>11</v>
      </c>
      <c r="D15">
        <v>30131</v>
      </c>
      <c r="E15">
        <v>7200</v>
      </c>
    </row>
    <row r="16" spans="1:5" x14ac:dyDescent="0.3">
      <c r="A16" s="1">
        <v>45672</v>
      </c>
      <c r="B16" t="s">
        <v>18</v>
      </c>
      <c r="C16" t="s">
        <v>24</v>
      </c>
      <c r="D16">
        <v>11878</v>
      </c>
      <c r="E16">
        <v>3103</v>
      </c>
    </row>
    <row r="17" spans="1:5" x14ac:dyDescent="0.3">
      <c r="A17" s="1">
        <v>45673</v>
      </c>
      <c r="B17" t="s">
        <v>5</v>
      </c>
      <c r="C17" t="s">
        <v>6</v>
      </c>
      <c r="D17">
        <v>36614</v>
      </c>
      <c r="E17">
        <v>4570</v>
      </c>
    </row>
    <row r="18" spans="1:5" x14ac:dyDescent="0.3">
      <c r="A18" s="1">
        <v>45674</v>
      </c>
      <c r="B18" t="s">
        <v>16</v>
      </c>
      <c r="C18" t="s">
        <v>10</v>
      </c>
      <c r="D18">
        <v>59362</v>
      </c>
      <c r="E18">
        <v>8930</v>
      </c>
    </row>
    <row r="19" spans="1:5" x14ac:dyDescent="0.3">
      <c r="A19" s="1">
        <v>45675</v>
      </c>
      <c r="B19" t="s">
        <v>9</v>
      </c>
      <c r="C19" t="s">
        <v>11</v>
      </c>
      <c r="D19">
        <v>49046</v>
      </c>
      <c r="E19">
        <v>9924</v>
      </c>
    </row>
    <row r="20" spans="1:5" x14ac:dyDescent="0.3">
      <c r="A20" s="1">
        <v>45676</v>
      </c>
      <c r="B20" t="s">
        <v>17</v>
      </c>
      <c r="C20" t="s">
        <v>24</v>
      </c>
      <c r="D20">
        <v>27589</v>
      </c>
      <c r="E20">
        <v>6385</v>
      </c>
    </row>
    <row r="21" spans="1:5" x14ac:dyDescent="0.3">
      <c r="A21" s="1">
        <v>45677</v>
      </c>
      <c r="B21" t="s">
        <v>18</v>
      </c>
      <c r="C21" t="s">
        <v>6</v>
      </c>
      <c r="D21">
        <v>13557</v>
      </c>
      <c r="E21">
        <v>3414</v>
      </c>
    </row>
    <row r="22" spans="1:5" x14ac:dyDescent="0.3">
      <c r="A22" s="1">
        <v>45678</v>
      </c>
      <c r="B22" t="s">
        <v>5</v>
      </c>
      <c r="C22" t="s">
        <v>10</v>
      </c>
      <c r="D22">
        <v>40196</v>
      </c>
      <c r="E22">
        <v>2273</v>
      </c>
    </row>
    <row r="23" spans="1:5" x14ac:dyDescent="0.3">
      <c r="A23" s="1">
        <v>45679</v>
      </c>
      <c r="B23" t="s">
        <v>16</v>
      </c>
      <c r="C23" t="s">
        <v>11</v>
      </c>
      <c r="D23">
        <v>27888</v>
      </c>
      <c r="E23">
        <v>6733</v>
      </c>
    </row>
    <row r="24" spans="1:5" x14ac:dyDescent="0.3">
      <c r="A24" s="1">
        <v>45680</v>
      </c>
      <c r="B24" t="s">
        <v>9</v>
      </c>
      <c r="C24" t="s">
        <v>24</v>
      </c>
      <c r="D24">
        <v>57957</v>
      </c>
      <c r="E24">
        <v>4926</v>
      </c>
    </row>
    <row r="25" spans="1:5" x14ac:dyDescent="0.3">
      <c r="A25" s="1">
        <v>45681</v>
      </c>
      <c r="B25" t="s">
        <v>17</v>
      </c>
      <c r="C25" t="s">
        <v>6</v>
      </c>
      <c r="D25">
        <v>48548</v>
      </c>
      <c r="E25">
        <v>5999</v>
      </c>
    </row>
    <row r="26" spans="1:5" x14ac:dyDescent="0.3">
      <c r="A26" s="1">
        <v>45682</v>
      </c>
      <c r="B26" t="s">
        <v>18</v>
      </c>
      <c r="C26" t="s">
        <v>27</v>
      </c>
      <c r="D26">
        <v>59600</v>
      </c>
      <c r="E26">
        <v>2914</v>
      </c>
    </row>
    <row r="27" spans="1:5" x14ac:dyDescent="0.3">
      <c r="A27" s="1">
        <v>45683</v>
      </c>
      <c r="B27" t="s">
        <v>5</v>
      </c>
      <c r="C27" t="s">
        <v>10</v>
      </c>
      <c r="D27">
        <v>37434</v>
      </c>
      <c r="E27">
        <v>8881</v>
      </c>
    </row>
    <row r="28" spans="1:5" x14ac:dyDescent="0.3">
      <c r="A28" s="1">
        <v>45684</v>
      </c>
      <c r="B28" t="s">
        <v>16</v>
      </c>
      <c r="C28" t="s">
        <v>26</v>
      </c>
      <c r="D28">
        <v>45668</v>
      </c>
      <c r="E28">
        <v>6444</v>
      </c>
    </row>
    <row r="29" spans="1:5" x14ac:dyDescent="0.3">
      <c r="A29" s="1">
        <v>45685</v>
      </c>
      <c r="B29" t="s">
        <v>9</v>
      </c>
      <c r="C29" t="s">
        <v>8</v>
      </c>
      <c r="D29">
        <v>42149</v>
      </c>
      <c r="E29">
        <v>6656</v>
      </c>
    </row>
    <row r="30" spans="1:5" x14ac:dyDescent="0.3">
      <c r="A30" s="1">
        <v>45686</v>
      </c>
      <c r="B30" t="s">
        <v>17</v>
      </c>
      <c r="C30" t="s">
        <v>27</v>
      </c>
      <c r="D30">
        <v>55878</v>
      </c>
      <c r="E30">
        <v>2272</v>
      </c>
    </row>
    <row r="31" spans="1:5" x14ac:dyDescent="0.3">
      <c r="A31" s="1">
        <v>45687</v>
      </c>
      <c r="B31" t="s">
        <v>18</v>
      </c>
      <c r="C31" t="s">
        <v>10</v>
      </c>
      <c r="D31">
        <v>49574</v>
      </c>
      <c r="E31">
        <v>7514</v>
      </c>
    </row>
    <row r="32" spans="1:5" x14ac:dyDescent="0.3">
      <c r="A32" s="1">
        <v>45688</v>
      </c>
      <c r="B32" t="s">
        <v>5</v>
      </c>
      <c r="C32" t="s">
        <v>26</v>
      </c>
      <c r="D32">
        <v>54994</v>
      </c>
      <c r="E32">
        <v>4828</v>
      </c>
    </row>
    <row r="33" spans="1:5" x14ac:dyDescent="0.3">
      <c r="A33" s="1">
        <v>45689</v>
      </c>
      <c r="B33" t="s">
        <v>16</v>
      </c>
      <c r="C33" t="s">
        <v>8</v>
      </c>
      <c r="D33">
        <v>28669</v>
      </c>
      <c r="E33">
        <v>2396</v>
      </c>
    </row>
    <row r="34" spans="1:5" x14ac:dyDescent="0.3">
      <c r="A34" s="1">
        <v>45690</v>
      </c>
      <c r="B34" t="s">
        <v>9</v>
      </c>
      <c r="C34" t="s">
        <v>27</v>
      </c>
      <c r="D34">
        <v>56985</v>
      </c>
      <c r="E34">
        <v>4648</v>
      </c>
    </row>
    <row r="35" spans="1:5" x14ac:dyDescent="0.3">
      <c r="A35" s="1">
        <v>45691</v>
      </c>
      <c r="B35" t="s">
        <v>17</v>
      </c>
      <c r="C35" t="s">
        <v>10</v>
      </c>
      <c r="D35">
        <v>54260</v>
      </c>
      <c r="E35">
        <v>6600</v>
      </c>
    </row>
    <row r="36" spans="1:5" x14ac:dyDescent="0.3">
      <c r="A36" s="1">
        <v>45692</v>
      </c>
      <c r="B36" t="s">
        <v>18</v>
      </c>
      <c r="C36" t="s">
        <v>26</v>
      </c>
      <c r="D36">
        <v>58897</v>
      </c>
      <c r="E36">
        <v>6189</v>
      </c>
    </row>
    <row r="37" spans="1:5" x14ac:dyDescent="0.3">
      <c r="A37" s="1">
        <v>45693</v>
      </c>
      <c r="B37" t="s">
        <v>5</v>
      </c>
      <c r="C37" t="s">
        <v>8</v>
      </c>
      <c r="D37">
        <v>46514</v>
      </c>
      <c r="E37">
        <v>7581</v>
      </c>
    </row>
    <row r="38" spans="1:5" x14ac:dyDescent="0.3">
      <c r="A38" s="1">
        <v>45694</v>
      </c>
      <c r="B38" t="s">
        <v>16</v>
      </c>
      <c r="C38" t="s">
        <v>27</v>
      </c>
      <c r="D38">
        <v>46526</v>
      </c>
      <c r="E38">
        <v>7062</v>
      </c>
    </row>
    <row r="39" spans="1:5" x14ac:dyDescent="0.3">
      <c r="A39" s="1">
        <v>45695</v>
      </c>
      <c r="B39" t="s">
        <v>9</v>
      </c>
      <c r="C39" t="s">
        <v>10</v>
      </c>
      <c r="D39">
        <v>17707</v>
      </c>
      <c r="E39">
        <v>3002</v>
      </c>
    </row>
    <row r="40" spans="1:5" x14ac:dyDescent="0.3">
      <c r="A40" s="1">
        <v>45696</v>
      </c>
      <c r="B40" t="s">
        <v>17</v>
      </c>
      <c r="C40" t="s">
        <v>26</v>
      </c>
      <c r="D40">
        <v>49709</v>
      </c>
      <c r="E40">
        <v>8863</v>
      </c>
    </row>
    <row r="41" spans="1:5" x14ac:dyDescent="0.3">
      <c r="A41" s="1">
        <v>45697</v>
      </c>
      <c r="B41" t="s">
        <v>18</v>
      </c>
      <c r="C41" t="s">
        <v>8</v>
      </c>
      <c r="D41">
        <v>37864</v>
      </c>
      <c r="E41">
        <v>5577</v>
      </c>
    </row>
    <row r="42" spans="1:5" x14ac:dyDescent="0.3">
      <c r="A42" s="1">
        <v>45698</v>
      </c>
      <c r="B42" t="s">
        <v>19</v>
      </c>
      <c r="C42" t="s">
        <v>27</v>
      </c>
      <c r="D42">
        <v>18263</v>
      </c>
      <c r="E42">
        <v>8224</v>
      </c>
    </row>
    <row r="43" spans="1:5" x14ac:dyDescent="0.3">
      <c r="A43" s="1">
        <v>45699</v>
      </c>
      <c r="B43" t="s">
        <v>20</v>
      </c>
      <c r="C43" t="s">
        <v>10</v>
      </c>
      <c r="D43">
        <v>31781</v>
      </c>
      <c r="E43">
        <v>8053</v>
      </c>
    </row>
    <row r="44" spans="1:5" x14ac:dyDescent="0.3">
      <c r="A44" s="1">
        <v>45700</v>
      </c>
      <c r="B44" t="s">
        <v>21</v>
      </c>
      <c r="C44" t="s">
        <v>26</v>
      </c>
      <c r="D44">
        <v>33160</v>
      </c>
      <c r="E44">
        <v>7910</v>
      </c>
    </row>
    <row r="45" spans="1:5" x14ac:dyDescent="0.3">
      <c r="A45" s="1">
        <v>45701</v>
      </c>
      <c r="B45" t="s">
        <v>16</v>
      </c>
      <c r="C45" t="s">
        <v>8</v>
      </c>
      <c r="D45">
        <v>48254</v>
      </c>
      <c r="E45">
        <v>3706</v>
      </c>
    </row>
    <row r="46" spans="1:5" x14ac:dyDescent="0.3">
      <c r="A46" s="1">
        <v>45702</v>
      </c>
      <c r="B46" t="s">
        <v>9</v>
      </c>
      <c r="C46" t="s">
        <v>27</v>
      </c>
      <c r="D46">
        <v>18059</v>
      </c>
      <c r="E46">
        <v>7473</v>
      </c>
    </row>
    <row r="47" spans="1:5" x14ac:dyDescent="0.3">
      <c r="A47" s="1">
        <v>45703</v>
      </c>
      <c r="B47" t="s">
        <v>19</v>
      </c>
      <c r="C47" t="s">
        <v>10</v>
      </c>
      <c r="D47">
        <v>15888</v>
      </c>
      <c r="E47">
        <v>5884</v>
      </c>
    </row>
    <row r="48" spans="1:5" x14ac:dyDescent="0.3">
      <c r="A48" s="1">
        <v>45704</v>
      </c>
      <c r="B48" t="s">
        <v>20</v>
      </c>
      <c r="C48" t="s">
        <v>26</v>
      </c>
      <c r="D48">
        <v>16253</v>
      </c>
      <c r="E48">
        <v>2581</v>
      </c>
    </row>
    <row r="49" spans="1:5" x14ac:dyDescent="0.3">
      <c r="A49" s="1">
        <v>45705</v>
      </c>
      <c r="B49" t="s">
        <v>21</v>
      </c>
      <c r="C49" t="s">
        <v>26</v>
      </c>
      <c r="D49">
        <v>59707</v>
      </c>
      <c r="E49">
        <v>4506</v>
      </c>
    </row>
    <row r="50" spans="1:5" x14ac:dyDescent="0.3">
      <c r="A50" s="1">
        <v>45706</v>
      </c>
      <c r="B50" t="s">
        <v>16</v>
      </c>
      <c r="C50" t="s">
        <v>10</v>
      </c>
      <c r="D50">
        <v>45905</v>
      </c>
      <c r="E50">
        <v>2611</v>
      </c>
    </row>
    <row r="51" spans="1:5" x14ac:dyDescent="0.3">
      <c r="A51" s="1">
        <v>45707</v>
      </c>
      <c r="B51" t="s">
        <v>9</v>
      </c>
      <c r="C51" t="s">
        <v>27</v>
      </c>
      <c r="D51">
        <v>31956</v>
      </c>
      <c r="E51">
        <v>3448</v>
      </c>
    </row>
    <row r="52" spans="1:5" x14ac:dyDescent="0.3">
      <c r="A52" s="1">
        <v>45708</v>
      </c>
      <c r="B52" t="s">
        <v>19</v>
      </c>
      <c r="C52" t="s">
        <v>8</v>
      </c>
      <c r="D52">
        <v>33240</v>
      </c>
      <c r="E52">
        <v>9449</v>
      </c>
    </row>
    <row r="53" spans="1:5" x14ac:dyDescent="0.3">
      <c r="A53" s="1">
        <v>45709</v>
      </c>
      <c r="B53" t="s">
        <v>20</v>
      </c>
      <c r="C53" t="s">
        <v>26</v>
      </c>
      <c r="D53">
        <v>20700</v>
      </c>
      <c r="E53">
        <v>8318</v>
      </c>
    </row>
    <row r="54" spans="1:5" x14ac:dyDescent="0.3">
      <c r="A54" s="1">
        <v>45710</v>
      </c>
      <c r="B54" t="s">
        <v>21</v>
      </c>
      <c r="C54" t="s">
        <v>10</v>
      </c>
      <c r="D54">
        <v>38524</v>
      </c>
      <c r="E54">
        <v>3767</v>
      </c>
    </row>
    <row r="55" spans="1:5" x14ac:dyDescent="0.3">
      <c r="A55" s="1">
        <v>45711</v>
      </c>
      <c r="B55" t="s">
        <v>16</v>
      </c>
      <c r="C55" t="s">
        <v>27</v>
      </c>
      <c r="D55">
        <v>34245</v>
      </c>
      <c r="E55">
        <v>7652</v>
      </c>
    </row>
    <row r="56" spans="1:5" x14ac:dyDescent="0.3">
      <c r="A56" s="1">
        <v>45712</v>
      </c>
      <c r="B56" t="s">
        <v>9</v>
      </c>
      <c r="C56" t="s">
        <v>8</v>
      </c>
      <c r="D56">
        <v>34615</v>
      </c>
      <c r="E56">
        <v>2629</v>
      </c>
    </row>
    <row r="57" spans="1:5" x14ac:dyDescent="0.3">
      <c r="A57" s="1">
        <v>45713</v>
      </c>
      <c r="B57" t="s">
        <v>20</v>
      </c>
      <c r="C57" t="s">
        <v>26</v>
      </c>
      <c r="D57">
        <v>48695</v>
      </c>
      <c r="E57">
        <v>3872</v>
      </c>
    </row>
    <row r="58" spans="1:5" x14ac:dyDescent="0.3">
      <c r="A58" s="1">
        <v>45714</v>
      </c>
      <c r="B58" t="s">
        <v>21</v>
      </c>
      <c r="C58" t="s">
        <v>10</v>
      </c>
      <c r="D58">
        <v>21837</v>
      </c>
      <c r="E58">
        <v>8983</v>
      </c>
    </row>
    <row r="59" spans="1:5" x14ac:dyDescent="0.3">
      <c r="A59" s="1">
        <v>45715</v>
      </c>
      <c r="B59" t="s">
        <v>22</v>
      </c>
      <c r="C59" t="s">
        <v>27</v>
      </c>
      <c r="D59">
        <v>29712</v>
      </c>
      <c r="E59">
        <v>5878</v>
      </c>
    </row>
    <row r="60" spans="1:5" x14ac:dyDescent="0.3">
      <c r="A60" s="1">
        <v>45716</v>
      </c>
      <c r="B60" t="s">
        <v>23</v>
      </c>
      <c r="C60" t="s">
        <v>8</v>
      </c>
      <c r="D60">
        <v>53478</v>
      </c>
      <c r="E60">
        <v>5260</v>
      </c>
    </row>
    <row r="61" spans="1:5" x14ac:dyDescent="0.3">
      <c r="A61" s="1">
        <v>45717</v>
      </c>
      <c r="B61" t="s">
        <v>5</v>
      </c>
      <c r="C61" t="s">
        <v>26</v>
      </c>
      <c r="D61">
        <v>58760</v>
      </c>
      <c r="E61">
        <v>3228</v>
      </c>
    </row>
    <row r="62" spans="1:5" x14ac:dyDescent="0.3">
      <c r="A62" s="1">
        <v>45718</v>
      </c>
      <c r="B62" t="s">
        <v>20</v>
      </c>
      <c r="C62" t="s">
        <v>10</v>
      </c>
      <c r="D62">
        <v>57827</v>
      </c>
      <c r="E62">
        <v>8050</v>
      </c>
    </row>
    <row r="63" spans="1:5" x14ac:dyDescent="0.3">
      <c r="A63" s="1">
        <v>45719</v>
      </c>
      <c r="B63" t="s">
        <v>21</v>
      </c>
      <c r="C63" t="s">
        <v>27</v>
      </c>
      <c r="D63">
        <v>40608</v>
      </c>
      <c r="E63">
        <v>6821</v>
      </c>
    </row>
    <row r="64" spans="1:5" x14ac:dyDescent="0.3">
      <c r="A64" s="1">
        <v>45720</v>
      </c>
      <c r="B64" t="s">
        <v>22</v>
      </c>
      <c r="C64" t="s">
        <v>8</v>
      </c>
      <c r="D64">
        <v>49014</v>
      </c>
      <c r="E64">
        <v>6536</v>
      </c>
    </row>
    <row r="65" spans="1:5" x14ac:dyDescent="0.3">
      <c r="A65" s="1">
        <v>45721</v>
      </c>
      <c r="B65" t="s">
        <v>23</v>
      </c>
      <c r="C65" t="s">
        <v>26</v>
      </c>
      <c r="D65">
        <v>48909</v>
      </c>
      <c r="E65">
        <v>5424</v>
      </c>
    </row>
    <row r="66" spans="1:5" x14ac:dyDescent="0.3">
      <c r="A66" s="1">
        <v>45722</v>
      </c>
      <c r="B66" t="s">
        <v>5</v>
      </c>
      <c r="C66" t="s">
        <v>10</v>
      </c>
      <c r="D66">
        <v>29843</v>
      </c>
      <c r="E66">
        <v>3907</v>
      </c>
    </row>
    <row r="67" spans="1:5" x14ac:dyDescent="0.3">
      <c r="A67" s="1">
        <v>45723</v>
      </c>
      <c r="B67" t="s">
        <v>20</v>
      </c>
      <c r="C67" t="s">
        <v>27</v>
      </c>
      <c r="D67">
        <v>18488</v>
      </c>
      <c r="E67">
        <v>2890</v>
      </c>
    </row>
    <row r="68" spans="1:5" x14ac:dyDescent="0.3">
      <c r="A68" s="1">
        <v>45724</v>
      </c>
      <c r="B68" t="s">
        <v>21</v>
      </c>
      <c r="C68" t="s">
        <v>8</v>
      </c>
      <c r="D68">
        <v>18492</v>
      </c>
      <c r="E68">
        <v>9122</v>
      </c>
    </row>
    <row r="69" spans="1:5" x14ac:dyDescent="0.3">
      <c r="A69" s="1">
        <v>45725</v>
      </c>
      <c r="B69" t="s">
        <v>22</v>
      </c>
      <c r="C69" t="s">
        <v>26</v>
      </c>
      <c r="D69">
        <v>49273</v>
      </c>
      <c r="E69">
        <v>3647</v>
      </c>
    </row>
    <row r="70" spans="1:5" x14ac:dyDescent="0.3">
      <c r="A70" s="1">
        <v>45726</v>
      </c>
      <c r="B70" t="s">
        <v>23</v>
      </c>
      <c r="C70" t="s">
        <v>10</v>
      </c>
      <c r="D70">
        <v>57803</v>
      </c>
      <c r="E70">
        <v>6141</v>
      </c>
    </row>
    <row r="71" spans="1:5" x14ac:dyDescent="0.3">
      <c r="A71" s="1">
        <v>45727</v>
      </c>
      <c r="B71" t="s">
        <v>5</v>
      </c>
      <c r="C71" t="s">
        <v>27</v>
      </c>
      <c r="D71">
        <v>19192</v>
      </c>
      <c r="E71">
        <v>3544</v>
      </c>
    </row>
    <row r="72" spans="1:5" x14ac:dyDescent="0.3">
      <c r="A72" s="1">
        <v>45728</v>
      </c>
      <c r="B72" t="s">
        <v>20</v>
      </c>
      <c r="C72" t="s">
        <v>8</v>
      </c>
      <c r="D72">
        <v>10356</v>
      </c>
      <c r="E72">
        <v>7753</v>
      </c>
    </row>
    <row r="73" spans="1:5" x14ac:dyDescent="0.3">
      <c r="A73" s="1">
        <v>45729</v>
      </c>
      <c r="B73" t="s">
        <v>21</v>
      </c>
      <c r="C73" t="s">
        <v>10</v>
      </c>
      <c r="D73">
        <v>57562</v>
      </c>
      <c r="E73">
        <v>5137</v>
      </c>
    </row>
    <row r="74" spans="1:5" x14ac:dyDescent="0.3">
      <c r="A74" s="1">
        <v>45730</v>
      </c>
      <c r="B74" t="s">
        <v>22</v>
      </c>
      <c r="C74" t="s">
        <v>11</v>
      </c>
      <c r="D74">
        <v>12974</v>
      </c>
      <c r="E74">
        <v>4644</v>
      </c>
    </row>
    <row r="75" spans="1:5" x14ac:dyDescent="0.3">
      <c r="A75" s="1">
        <v>45731</v>
      </c>
      <c r="B75" t="s">
        <v>23</v>
      </c>
      <c r="C75" t="s">
        <v>24</v>
      </c>
      <c r="D75">
        <v>25246</v>
      </c>
      <c r="E75">
        <v>6846</v>
      </c>
    </row>
    <row r="76" spans="1:5" x14ac:dyDescent="0.3">
      <c r="A76" s="1">
        <v>45732</v>
      </c>
      <c r="B76" t="s">
        <v>5</v>
      </c>
      <c r="C76" t="s">
        <v>25</v>
      </c>
      <c r="D76">
        <v>47558</v>
      </c>
      <c r="E76">
        <v>4777</v>
      </c>
    </row>
    <row r="77" spans="1:5" x14ac:dyDescent="0.3">
      <c r="A77" s="1">
        <v>45733</v>
      </c>
      <c r="B77" t="s">
        <v>23</v>
      </c>
      <c r="C77" t="s">
        <v>10</v>
      </c>
      <c r="D77">
        <v>57929</v>
      </c>
      <c r="E77">
        <v>4381</v>
      </c>
    </row>
    <row r="78" spans="1:5" x14ac:dyDescent="0.3">
      <c r="A78" s="1">
        <v>45734</v>
      </c>
      <c r="B78" t="s">
        <v>21</v>
      </c>
      <c r="C78" t="s">
        <v>11</v>
      </c>
      <c r="D78">
        <v>56610</v>
      </c>
      <c r="E78">
        <v>2627</v>
      </c>
    </row>
    <row r="79" spans="1:5" x14ac:dyDescent="0.3">
      <c r="A79" s="1">
        <v>45735</v>
      </c>
      <c r="B79" t="s">
        <v>19</v>
      </c>
      <c r="C79" t="s">
        <v>24</v>
      </c>
      <c r="D79">
        <v>21848</v>
      </c>
      <c r="E79">
        <v>6403</v>
      </c>
    </row>
    <row r="80" spans="1:5" x14ac:dyDescent="0.3">
      <c r="A80" s="1">
        <v>45736</v>
      </c>
      <c r="B80" t="s">
        <v>20</v>
      </c>
      <c r="C80" t="s">
        <v>25</v>
      </c>
      <c r="D80">
        <v>25655</v>
      </c>
      <c r="E80">
        <v>5310</v>
      </c>
    </row>
    <row r="81" spans="1:5" x14ac:dyDescent="0.3">
      <c r="A81" s="1">
        <v>45737</v>
      </c>
      <c r="B81" t="s">
        <v>16</v>
      </c>
      <c r="C81" t="s">
        <v>10</v>
      </c>
      <c r="D81">
        <v>20425</v>
      </c>
      <c r="E81">
        <v>6060</v>
      </c>
    </row>
    <row r="82" spans="1:5" x14ac:dyDescent="0.3">
      <c r="A82" s="1">
        <v>45738</v>
      </c>
      <c r="B82" t="s">
        <v>23</v>
      </c>
      <c r="C82" t="s">
        <v>11</v>
      </c>
      <c r="D82">
        <v>52429</v>
      </c>
      <c r="E82">
        <v>6786</v>
      </c>
    </row>
    <row r="83" spans="1:5" x14ac:dyDescent="0.3">
      <c r="A83" s="1">
        <v>45739</v>
      </c>
      <c r="B83" t="s">
        <v>21</v>
      </c>
      <c r="C83" t="s">
        <v>24</v>
      </c>
      <c r="D83">
        <v>38010</v>
      </c>
      <c r="E83">
        <v>5916</v>
      </c>
    </row>
    <row r="84" spans="1:5" x14ac:dyDescent="0.3">
      <c r="A84" s="1">
        <v>45740</v>
      </c>
      <c r="B84" t="s">
        <v>19</v>
      </c>
      <c r="C84" t="s">
        <v>25</v>
      </c>
      <c r="D84">
        <v>13363</v>
      </c>
      <c r="E84">
        <v>4564</v>
      </c>
    </row>
    <row r="85" spans="1:5" x14ac:dyDescent="0.3">
      <c r="A85" s="1">
        <v>45741</v>
      </c>
      <c r="B85" t="s">
        <v>20</v>
      </c>
      <c r="C85" t="s">
        <v>10</v>
      </c>
      <c r="D85">
        <v>34733</v>
      </c>
      <c r="E85">
        <v>3805</v>
      </c>
    </row>
    <row r="86" spans="1:5" x14ac:dyDescent="0.3">
      <c r="A86" s="1">
        <v>45742</v>
      </c>
      <c r="B86" t="s">
        <v>16</v>
      </c>
      <c r="C86" t="s">
        <v>11</v>
      </c>
      <c r="D86">
        <v>16252</v>
      </c>
      <c r="E86">
        <v>4220</v>
      </c>
    </row>
    <row r="87" spans="1:5" x14ac:dyDescent="0.3">
      <c r="A87" s="1">
        <v>45743</v>
      </c>
      <c r="B87" t="s">
        <v>23</v>
      </c>
      <c r="C87" t="s">
        <v>24</v>
      </c>
      <c r="D87">
        <v>31451</v>
      </c>
      <c r="E87">
        <v>2589</v>
      </c>
    </row>
    <row r="88" spans="1:5" x14ac:dyDescent="0.3">
      <c r="A88" s="1">
        <v>45744</v>
      </c>
      <c r="B88" t="s">
        <v>21</v>
      </c>
      <c r="C88" t="s">
        <v>8</v>
      </c>
      <c r="D88">
        <v>54404</v>
      </c>
      <c r="E88">
        <v>7177</v>
      </c>
    </row>
    <row r="89" spans="1:5" x14ac:dyDescent="0.3">
      <c r="A89" s="1">
        <v>45745</v>
      </c>
      <c r="B89" t="s">
        <v>19</v>
      </c>
      <c r="C89" t="s">
        <v>6</v>
      </c>
      <c r="D89">
        <v>52070</v>
      </c>
      <c r="E89">
        <v>9539</v>
      </c>
    </row>
    <row r="90" spans="1:5" x14ac:dyDescent="0.3">
      <c r="A90" s="1">
        <v>45746</v>
      </c>
      <c r="B90" t="s">
        <v>20</v>
      </c>
      <c r="C90" t="s">
        <v>10</v>
      </c>
      <c r="D90">
        <v>11215</v>
      </c>
      <c r="E90">
        <v>3146</v>
      </c>
    </row>
    <row r="91" spans="1:5" x14ac:dyDescent="0.3">
      <c r="A91" s="1">
        <v>45747</v>
      </c>
      <c r="B91" t="s">
        <v>16</v>
      </c>
      <c r="C91" t="s">
        <v>11</v>
      </c>
      <c r="D91">
        <v>54875</v>
      </c>
      <c r="E91">
        <v>5992</v>
      </c>
    </row>
    <row r="92" spans="1:5" x14ac:dyDescent="0.3">
      <c r="A92" s="1">
        <v>45748</v>
      </c>
      <c r="B92" t="s">
        <v>23</v>
      </c>
      <c r="C92" t="s">
        <v>8</v>
      </c>
      <c r="D92">
        <v>54307</v>
      </c>
      <c r="E92">
        <v>9287</v>
      </c>
    </row>
    <row r="93" spans="1:5" x14ac:dyDescent="0.3">
      <c r="A93" s="1">
        <v>45749</v>
      </c>
      <c r="B93" t="s">
        <v>21</v>
      </c>
      <c r="C93" t="s">
        <v>6</v>
      </c>
      <c r="D93">
        <v>58502</v>
      </c>
      <c r="E93">
        <v>7286</v>
      </c>
    </row>
    <row r="94" spans="1:5" x14ac:dyDescent="0.3">
      <c r="A94" s="1">
        <v>45750</v>
      </c>
      <c r="B94" t="s">
        <v>19</v>
      </c>
      <c r="C94" t="s">
        <v>10</v>
      </c>
      <c r="D94">
        <v>14033</v>
      </c>
      <c r="E94">
        <v>2517</v>
      </c>
    </row>
    <row r="95" spans="1:5" x14ac:dyDescent="0.3">
      <c r="A95" s="1">
        <v>45751</v>
      </c>
      <c r="B95" t="s">
        <v>20</v>
      </c>
      <c r="C95" t="s">
        <v>11</v>
      </c>
      <c r="D95">
        <v>16893</v>
      </c>
      <c r="E95">
        <v>8148</v>
      </c>
    </row>
    <row r="96" spans="1:5" x14ac:dyDescent="0.3">
      <c r="A96" s="1">
        <v>45752</v>
      </c>
      <c r="B96" t="s">
        <v>16</v>
      </c>
      <c r="C96" t="s">
        <v>8</v>
      </c>
      <c r="D96">
        <v>26109</v>
      </c>
      <c r="E96">
        <v>9751</v>
      </c>
    </row>
    <row r="97" spans="1:5" x14ac:dyDescent="0.3">
      <c r="A97" s="1">
        <v>45753</v>
      </c>
      <c r="B97" t="s">
        <v>23</v>
      </c>
      <c r="C97" t="s">
        <v>6</v>
      </c>
      <c r="D97">
        <v>22588</v>
      </c>
      <c r="E97">
        <v>9448</v>
      </c>
    </row>
    <row r="98" spans="1:5" x14ac:dyDescent="0.3">
      <c r="A98" s="1">
        <v>45754</v>
      </c>
      <c r="B98" t="s">
        <v>21</v>
      </c>
      <c r="C98" t="s">
        <v>10</v>
      </c>
      <c r="D98">
        <v>42166</v>
      </c>
      <c r="E98">
        <v>3248</v>
      </c>
    </row>
    <row r="99" spans="1:5" x14ac:dyDescent="0.3">
      <c r="A99" s="1">
        <v>45755</v>
      </c>
      <c r="B99" t="s">
        <v>19</v>
      </c>
      <c r="C99" t="s">
        <v>11</v>
      </c>
      <c r="D99">
        <v>34347</v>
      </c>
      <c r="E99">
        <v>5899</v>
      </c>
    </row>
    <row r="100" spans="1:5" x14ac:dyDescent="0.3">
      <c r="A100" s="1">
        <v>45756</v>
      </c>
      <c r="B100" t="s">
        <v>20</v>
      </c>
      <c r="C100" t="s">
        <v>8</v>
      </c>
      <c r="D100">
        <v>43411</v>
      </c>
      <c r="E100">
        <v>8635</v>
      </c>
    </row>
    <row r="101" spans="1:5" x14ac:dyDescent="0.3">
      <c r="A101" s="1">
        <v>45757</v>
      </c>
      <c r="B101" t="s">
        <v>16</v>
      </c>
      <c r="C101" t="s">
        <v>6</v>
      </c>
      <c r="D101">
        <v>46198</v>
      </c>
      <c r="E101">
        <v>5047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5B06-7883-4EC3-9D4C-F92032AC260A}">
  <dimension ref="A1:E31"/>
  <sheetViews>
    <sheetView topLeftCell="A2" workbookViewId="0">
      <selection sqref="A1:E31"/>
    </sheetView>
  </sheetViews>
  <sheetFormatPr defaultRowHeight="14.4" x14ac:dyDescent="0.3"/>
  <cols>
    <col min="1" max="1" width="11.109375" customWidth="1"/>
    <col min="2" max="2" width="11.44140625" customWidth="1"/>
    <col min="3" max="5" width="10.44140625" customWidth="1"/>
  </cols>
  <sheetData>
    <row r="1" spans="1:5" x14ac:dyDescent="0.3">
      <c r="A1" t="s">
        <v>0</v>
      </c>
      <c r="B1" t="s">
        <v>1</v>
      </c>
      <c r="C1" t="s">
        <v>2</v>
      </c>
      <c r="D1" t="s">
        <v>3</v>
      </c>
      <c r="E1" t="s">
        <v>4</v>
      </c>
    </row>
    <row r="2" spans="1:5" x14ac:dyDescent="0.3">
      <c r="A2" s="1">
        <v>46023</v>
      </c>
      <c r="B2" t="s">
        <v>5</v>
      </c>
      <c r="C2" t="s">
        <v>6</v>
      </c>
      <c r="D2">
        <v>50000</v>
      </c>
      <c r="E2">
        <v>8000</v>
      </c>
    </row>
    <row r="3" spans="1:5" x14ac:dyDescent="0.3">
      <c r="A3" s="1">
        <v>46024</v>
      </c>
      <c r="B3" t="s">
        <v>7</v>
      </c>
      <c r="C3" t="s">
        <v>8</v>
      </c>
      <c r="D3">
        <v>20000</v>
      </c>
      <c r="E3">
        <v>3000</v>
      </c>
    </row>
    <row r="4" spans="1:5" x14ac:dyDescent="0.3">
      <c r="A4" s="1">
        <v>46025</v>
      </c>
      <c r="B4" t="s">
        <v>9</v>
      </c>
      <c r="C4" t="s">
        <v>10</v>
      </c>
      <c r="D4">
        <v>15000</v>
      </c>
      <c r="E4">
        <v>2000</v>
      </c>
    </row>
    <row r="5" spans="1:5" x14ac:dyDescent="0.3">
      <c r="A5" s="1">
        <v>46026</v>
      </c>
      <c r="B5" t="s">
        <v>5</v>
      </c>
      <c r="C5" t="s">
        <v>11</v>
      </c>
      <c r="D5">
        <v>45000</v>
      </c>
      <c r="E5">
        <v>7000</v>
      </c>
    </row>
    <row r="6" spans="1:5" x14ac:dyDescent="0.3">
      <c r="A6" s="1">
        <v>46027</v>
      </c>
      <c r="B6" t="s">
        <v>7</v>
      </c>
      <c r="C6" t="s">
        <v>6</v>
      </c>
      <c r="D6">
        <v>22000</v>
      </c>
      <c r="E6">
        <v>3500</v>
      </c>
    </row>
    <row r="7" spans="1:5" x14ac:dyDescent="0.3">
      <c r="A7" s="1">
        <v>46028</v>
      </c>
      <c r="B7" t="s">
        <v>9</v>
      </c>
      <c r="C7" t="s">
        <v>8</v>
      </c>
      <c r="D7">
        <v>18000</v>
      </c>
      <c r="E7">
        <v>2500</v>
      </c>
    </row>
    <row r="8" spans="1:5" x14ac:dyDescent="0.3">
      <c r="A8" s="1">
        <v>46029</v>
      </c>
      <c r="B8" t="s">
        <v>5</v>
      </c>
      <c r="C8" t="s">
        <v>10</v>
      </c>
      <c r="D8">
        <v>52000</v>
      </c>
      <c r="E8">
        <v>9000</v>
      </c>
    </row>
    <row r="9" spans="1:5" x14ac:dyDescent="0.3">
      <c r="A9" s="1">
        <v>46030</v>
      </c>
      <c r="B9" t="s">
        <v>7</v>
      </c>
      <c r="C9" t="s">
        <v>11</v>
      </c>
      <c r="D9">
        <v>25000</v>
      </c>
      <c r="E9">
        <v>4000</v>
      </c>
    </row>
    <row r="10" spans="1:5" x14ac:dyDescent="0.3">
      <c r="A10" s="1">
        <v>46031</v>
      </c>
      <c r="B10" t="s">
        <v>9</v>
      </c>
      <c r="C10" t="s">
        <v>6</v>
      </c>
      <c r="D10">
        <v>16000</v>
      </c>
      <c r="E10">
        <v>2100</v>
      </c>
    </row>
    <row r="11" spans="1:5" x14ac:dyDescent="0.3">
      <c r="A11" s="1">
        <v>46032</v>
      </c>
      <c r="B11" t="s">
        <v>5</v>
      </c>
      <c r="C11" t="s">
        <v>8</v>
      </c>
      <c r="D11">
        <v>48000</v>
      </c>
      <c r="E11">
        <v>7500</v>
      </c>
    </row>
    <row r="12" spans="1:5" x14ac:dyDescent="0.3">
      <c r="A12" s="1">
        <v>46033</v>
      </c>
      <c r="B12" t="s">
        <v>7</v>
      </c>
      <c r="C12" t="s">
        <v>10</v>
      </c>
      <c r="D12">
        <v>23000</v>
      </c>
      <c r="E12">
        <v>3200</v>
      </c>
    </row>
    <row r="13" spans="1:5" x14ac:dyDescent="0.3">
      <c r="A13" s="1">
        <v>46034</v>
      </c>
      <c r="B13" t="s">
        <v>9</v>
      </c>
      <c r="C13" t="s">
        <v>11</v>
      </c>
      <c r="D13">
        <v>17000</v>
      </c>
      <c r="E13">
        <v>2200</v>
      </c>
    </row>
    <row r="14" spans="1:5" x14ac:dyDescent="0.3">
      <c r="A14" s="1">
        <v>46035</v>
      </c>
      <c r="B14" t="s">
        <v>5</v>
      </c>
      <c r="C14" t="s">
        <v>6</v>
      </c>
      <c r="D14">
        <v>51000</v>
      </c>
      <c r="E14">
        <v>8500</v>
      </c>
    </row>
    <row r="15" spans="1:5" x14ac:dyDescent="0.3">
      <c r="A15" s="1">
        <v>46036</v>
      </c>
      <c r="B15" t="s">
        <v>7</v>
      </c>
      <c r="C15" t="s">
        <v>8</v>
      </c>
      <c r="D15">
        <v>21000</v>
      </c>
      <c r="E15">
        <v>3100</v>
      </c>
    </row>
    <row r="16" spans="1:5" x14ac:dyDescent="0.3">
      <c r="A16" s="1">
        <v>46037</v>
      </c>
      <c r="B16" t="s">
        <v>9</v>
      </c>
      <c r="C16" t="s">
        <v>10</v>
      </c>
      <c r="D16">
        <v>14000</v>
      </c>
      <c r="E16">
        <v>1900</v>
      </c>
    </row>
    <row r="17" spans="1:5" x14ac:dyDescent="0.3">
      <c r="A17" s="1">
        <v>46038</v>
      </c>
      <c r="B17" t="s">
        <v>5</v>
      </c>
      <c r="C17" t="s">
        <v>11</v>
      </c>
      <c r="D17">
        <v>46000</v>
      </c>
      <c r="E17">
        <v>7200</v>
      </c>
    </row>
    <row r="18" spans="1:5" x14ac:dyDescent="0.3">
      <c r="A18" s="1">
        <v>46039</v>
      </c>
      <c r="B18" t="s">
        <v>7</v>
      </c>
      <c r="C18" t="s">
        <v>6</v>
      </c>
      <c r="D18">
        <v>24000</v>
      </c>
      <c r="E18">
        <v>3600</v>
      </c>
    </row>
    <row r="19" spans="1:5" x14ac:dyDescent="0.3">
      <c r="A19" s="1">
        <v>46040</v>
      </c>
      <c r="B19" t="s">
        <v>9</v>
      </c>
      <c r="C19" t="s">
        <v>8</v>
      </c>
      <c r="D19">
        <v>19000</v>
      </c>
      <c r="E19">
        <v>2600</v>
      </c>
    </row>
    <row r="20" spans="1:5" x14ac:dyDescent="0.3">
      <c r="A20" s="1">
        <v>46041</v>
      </c>
      <c r="B20" t="s">
        <v>5</v>
      </c>
      <c r="C20" t="s">
        <v>10</v>
      </c>
      <c r="D20">
        <v>53000</v>
      </c>
      <c r="E20">
        <v>9200</v>
      </c>
    </row>
    <row r="21" spans="1:5" x14ac:dyDescent="0.3">
      <c r="A21" s="1">
        <v>46042</v>
      </c>
      <c r="B21" t="s">
        <v>7</v>
      </c>
      <c r="C21" t="s">
        <v>11</v>
      </c>
      <c r="D21">
        <v>26000</v>
      </c>
      <c r="E21">
        <v>4100</v>
      </c>
    </row>
    <row r="22" spans="1:5" x14ac:dyDescent="0.3">
      <c r="A22" s="1">
        <v>46043</v>
      </c>
      <c r="B22" t="s">
        <v>9</v>
      </c>
      <c r="C22" t="s">
        <v>6</v>
      </c>
      <c r="D22">
        <v>16500</v>
      </c>
      <c r="E22">
        <v>2150</v>
      </c>
    </row>
    <row r="23" spans="1:5" x14ac:dyDescent="0.3">
      <c r="A23" s="1">
        <v>46044</v>
      </c>
      <c r="B23" t="s">
        <v>5</v>
      </c>
      <c r="C23" t="s">
        <v>8</v>
      </c>
      <c r="D23">
        <v>47000</v>
      </c>
      <c r="E23">
        <v>7400</v>
      </c>
    </row>
    <row r="24" spans="1:5" x14ac:dyDescent="0.3">
      <c r="A24" s="1">
        <v>46045</v>
      </c>
      <c r="B24" t="s">
        <v>7</v>
      </c>
      <c r="C24" t="s">
        <v>10</v>
      </c>
      <c r="D24">
        <v>22500</v>
      </c>
      <c r="E24">
        <v>3300</v>
      </c>
    </row>
    <row r="25" spans="1:5" x14ac:dyDescent="0.3">
      <c r="A25" s="1">
        <v>46046</v>
      </c>
      <c r="B25" t="s">
        <v>9</v>
      </c>
      <c r="C25" t="s">
        <v>11</v>
      </c>
      <c r="D25">
        <v>17500</v>
      </c>
      <c r="E25">
        <v>2300</v>
      </c>
    </row>
    <row r="26" spans="1:5" x14ac:dyDescent="0.3">
      <c r="A26" s="1">
        <v>46047</v>
      </c>
      <c r="B26" t="s">
        <v>5</v>
      </c>
      <c r="C26" t="s">
        <v>6</v>
      </c>
      <c r="D26">
        <v>52000</v>
      </c>
      <c r="E26">
        <v>8800</v>
      </c>
    </row>
    <row r="27" spans="1:5" x14ac:dyDescent="0.3">
      <c r="A27" s="1">
        <v>46048</v>
      </c>
      <c r="B27" t="s">
        <v>7</v>
      </c>
      <c r="C27" t="s">
        <v>8</v>
      </c>
      <c r="D27">
        <v>20500</v>
      </c>
      <c r="E27">
        <v>3050</v>
      </c>
    </row>
    <row r="28" spans="1:5" x14ac:dyDescent="0.3">
      <c r="A28" s="1">
        <v>46049</v>
      </c>
      <c r="B28" t="s">
        <v>9</v>
      </c>
      <c r="C28" t="s">
        <v>10</v>
      </c>
      <c r="D28">
        <v>15500</v>
      </c>
      <c r="E28">
        <v>2050</v>
      </c>
    </row>
    <row r="29" spans="1:5" x14ac:dyDescent="0.3">
      <c r="A29" s="1">
        <v>46050</v>
      </c>
      <c r="B29" t="s">
        <v>5</v>
      </c>
      <c r="C29" t="s">
        <v>11</v>
      </c>
      <c r="D29">
        <v>45500</v>
      </c>
      <c r="E29">
        <v>7100</v>
      </c>
    </row>
    <row r="30" spans="1:5" x14ac:dyDescent="0.3">
      <c r="A30" s="1">
        <v>46051</v>
      </c>
      <c r="B30" t="s">
        <v>7</v>
      </c>
      <c r="C30" t="s">
        <v>6</v>
      </c>
      <c r="D30">
        <v>23500</v>
      </c>
      <c r="E30">
        <v>3450</v>
      </c>
    </row>
    <row r="31" spans="1:5" x14ac:dyDescent="0.3">
      <c r="A31" s="1">
        <v>46052</v>
      </c>
      <c r="B31" t="s">
        <v>9</v>
      </c>
      <c r="C31" t="s">
        <v>8</v>
      </c>
      <c r="D31">
        <v>18500</v>
      </c>
      <c r="E31">
        <v>2550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Sheet6</vt:lpstr>
      <vt:lpstr>Sheet5</vt:lpstr>
      <vt:lpstr>Dashboard</vt:lpstr>
      <vt:lpstr>DataSet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SHRAVANI K</dc:creator>
  <cp:lastModifiedBy>SHRAVANI K</cp:lastModifiedBy>
  <dcterms:created xsi:type="dcterms:W3CDTF">2026-03-25T15:04:52Z</dcterms:created>
  <dcterms:modified xsi:type="dcterms:W3CDTF">2026-03-26T17:18:09Z</dcterms:modified>
</cp:coreProperties>
</file>